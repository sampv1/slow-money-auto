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nduni-my.sharepoint.com/personal/mle_bond_edu_au/Documents/loctinhieu/"/>
    </mc:Choice>
  </mc:AlternateContent>
  <xr:revisionPtr revIDLastSave="1" documentId="8_{A3209AEF-5DC2-481C-8FE8-13549647D5BD}" xr6:coauthVersionLast="47" xr6:coauthVersionMax="47" xr10:uidLastSave="{EDF5B5EF-983A-490F-AB0D-31F3CC54397B}"/>
  <bookViews>
    <workbookView xWindow="19090" yWindow="-110" windowWidth="25820" windowHeight="13900" xr2:uid="{AAD6C1E7-7220-49FB-80FD-D057BAE54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C13" i="1"/>
  <c r="C10" i="1"/>
  <c r="C14" i="1" l="1"/>
</calcChain>
</file>

<file path=xl/sharedStrings.xml><?xml version="1.0" encoding="utf-8"?>
<sst xmlns="http://schemas.openxmlformats.org/spreadsheetml/2006/main" count="20" uniqueCount="20">
  <si>
    <t>Hôm nay ngày</t>
  </si>
  <si>
    <t xml:space="preserve">Đáo hạn ngày </t>
  </si>
  <si>
    <t>Thông số</t>
  </si>
  <si>
    <t>Giá trị</t>
  </si>
  <si>
    <t>F = S*exp[(r - q)*T]</t>
  </si>
  <si>
    <t>Spot VN30</t>
  </si>
  <si>
    <t>exp[(r - q)*T] = F/S</t>
  </si>
  <si>
    <t>rủi ro</t>
  </si>
  <si>
    <t>[(r - q)*T] = ln(F/S)</t>
  </si>
  <si>
    <t>q (dividend yield)</t>
  </si>
  <si>
    <t>r-q  = ln(F/S)/T</t>
  </si>
  <si>
    <t>T</t>
  </si>
  <si>
    <t xml:space="preserve">  r = ln(F/S)/T</t>
  </si>
  <si>
    <t>assume q = 0</t>
  </si>
  <si>
    <t>rui ro</t>
  </si>
  <si>
    <t>F (actual)</t>
  </si>
  <si>
    <t>F (theory)</t>
  </si>
  <si>
    <t>khác biệt</t>
  </si>
  <si>
    <t>just assumed</t>
  </si>
  <si>
    <t>implied risk (implied cost of capital)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</si>
</sst>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9" fontId="2" fillId="2" borderId="0" xfId="0" applyNumberFormat="1" applyFont="1" applyFill="1" applyAlignment="1">
      <alignment vertical="center" wrapText="1"/>
    </xf>
    <xf numFmtId="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/>
    <xf numFmtId="9" fontId="4" fillId="2" borderId="0" xfId="1" applyFont="1" applyFill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0</xdr:row>
      <xdr:rowOff>88900</xdr:rowOff>
    </xdr:from>
    <xdr:to>
      <xdr:col>8</xdr:col>
      <xdr:colOff>146159</xdr:colOff>
      <xdr:row>4</xdr:row>
      <xdr:rowOff>25435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565F9A-93A7-4A07-A6B5-4770F951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850" y="4692650"/>
          <a:ext cx="2121009" cy="673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9</xdr:col>
      <xdr:colOff>606330</xdr:colOff>
      <xdr:row>35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DF83BC-3B10-4697-9F08-ADE683006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98850"/>
          <a:ext cx="6276880" cy="3632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FFA9-D3DF-4E66-BE18-34A5C5FB5675}">
  <dimension ref="B3:H14"/>
  <sheetViews>
    <sheetView tabSelected="1" workbookViewId="0">
      <selection activeCell="L10" sqref="L10"/>
    </sheetView>
  </sheetViews>
  <sheetFormatPr defaultRowHeight="14.5" x14ac:dyDescent="0.35"/>
  <cols>
    <col min="2" max="2" width="11.90625" bestFit="1" customWidth="1"/>
    <col min="3" max="3" width="11.81640625" bestFit="1" customWidth="1"/>
    <col min="4" max="4" width="11.54296875" bestFit="1" customWidth="1"/>
    <col min="7" max="7" width="11" customWidth="1"/>
  </cols>
  <sheetData>
    <row r="3" spans="2:8" x14ac:dyDescent="0.35">
      <c r="B3" t="s">
        <v>0</v>
      </c>
      <c r="C3" s="1">
        <v>46189</v>
      </c>
    </row>
    <row r="4" spans="2:8" x14ac:dyDescent="0.35">
      <c r="B4" t="s">
        <v>1</v>
      </c>
      <c r="C4" s="1">
        <v>46191</v>
      </c>
    </row>
    <row r="6" spans="2:8" x14ac:dyDescent="0.35">
      <c r="B6" s="2" t="s">
        <v>2</v>
      </c>
      <c r="C6" s="2" t="s">
        <v>3</v>
      </c>
      <c r="F6" t="s">
        <v>4</v>
      </c>
    </row>
    <row r="7" spans="2:8" ht="29" x14ac:dyDescent="0.35">
      <c r="B7" s="2" t="s">
        <v>5</v>
      </c>
      <c r="C7" s="3">
        <v>1961.63</v>
      </c>
      <c r="F7" t="s">
        <v>6</v>
      </c>
    </row>
    <row r="8" spans="2:8" x14ac:dyDescent="0.35">
      <c r="B8" s="2" t="s">
        <v>7</v>
      </c>
      <c r="C8" s="4">
        <v>0.04</v>
      </c>
      <c r="D8" t="s">
        <v>18</v>
      </c>
      <c r="F8" t="s">
        <v>8</v>
      </c>
    </row>
    <row r="9" spans="2:8" ht="43.5" x14ac:dyDescent="0.35">
      <c r="B9" s="2" t="s">
        <v>9</v>
      </c>
      <c r="C9" s="5">
        <v>0</v>
      </c>
      <c r="F9" t="s">
        <v>10</v>
      </c>
    </row>
    <row r="10" spans="2:8" x14ac:dyDescent="0.35">
      <c r="B10" s="2" t="s">
        <v>11</v>
      </c>
      <c r="C10" s="6">
        <f>(C4-C3)/365</f>
        <v>5.4794520547945206E-3</v>
      </c>
      <c r="F10" t="s">
        <v>12</v>
      </c>
      <c r="H10" t="s">
        <v>13</v>
      </c>
    </row>
    <row r="11" spans="2:8" x14ac:dyDescent="0.35">
      <c r="E11" s="9" t="s">
        <v>14</v>
      </c>
      <c r="F11" s="8">
        <f>LN(C12/C7)/C10</f>
        <v>0.17389234283711186</v>
      </c>
      <c r="G11" t="s">
        <v>19</v>
      </c>
    </row>
    <row r="12" spans="2:8" x14ac:dyDescent="0.35">
      <c r="B12" s="2" t="s">
        <v>15</v>
      </c>
      <c r="C12">
        <v>1963.5</v>
      </c>
    </row>
    <row r="13" spans="2:8" x14ac:dyDescent="0.35">
      <c r="B13" s="2" t="s">
        <v>16</v>
      </c>
      <c r="C13">
        <f>C7*EXP((C8-C9)*C10)</f>
        <v>1962.0599934222155</v>
      </c>
    </row>
    <row r="14" spans="2:8" x14ac:dyDescent="0.35">
      <c r="B14" s="2" t="s">
        <v>17</v>
      </c>
      <c r="C14" s="7">
        <f>C13-C12</f>
        <v>-1.4400065777845157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Bond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Le</dc:creator>
  <cp:lastModifiedBy>Minh Le</cp:lastModifiedBy>
  <dcterms:created xsi:type="dcterms:W3CDTF">2026-06-17T03:09:28Z</dcterms:created>
  <dcterms:modified xsi:type="dcterms:W3CDTF">2026-06-17T03:11:57Z</dcterms:modified>
</cp:coreProperties>
</file>