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633497cd0e4c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b0f94e4b1dee442d"/>
    <x:sheet xmlns:r="http://schemas.openxmlformats.org/officeDocument/2006/relationships" name="Trend ngày" sheetId="2" r:id="Rc9697771553345a5"/>
    <x:sheet xmlns:r="http://schemas.openxmlformats.org/officeDocument/2006/relationships" name="Trend tuần" sheetId="3" r:id="Rb36b30a9c6c94f7c"/>
    <x:sheet xmlns:r="http://schemas.openxmlformats.org/officeDocument/2006/relationships" name="Logic IT" sheetId="4" r:id="R66f7f5e2992f45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0"/>
      <x:name val="Consolas"/>
    </x:font>
    <x:font>
      <x:b/>
      <x:sz val="11"/>
      <x:color rgb="FF9C0006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6AA84F"/>
      </x:patternFill>
    </x:fill>
    <x:fill>
      <x:patternFill patternType="solid">
        <x:fgColor rgb="FFF8F9FA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1F4E78"/>
      </x:patternFill>
    </x:fill>
    <x:fill>
      <x:patternFill patternType="solid">
        <x:fgColor rgb="FF6AA84F"/>
      </x:patternFill>
    </x:fill>
    <x:fill>
      <x:patternFill patternType="solid">
        <x:fgColor rgb="FFF8F9FA"/>
      </x:patternFill>
    </x:fill>
  </x:fills>
  <x:borders count="30">
    <x:border/>
    <x:border/>
    <x:border>
      <x:left style="thin">
        <x:color rgb="FF666666"/>
      </x:left>
      <x:top style="thin">
        <x:color rgb="FF666666"/>
      </x:top>
      <x:bottom style="thin">
        <x:color rgb="FF666666"/>
      </x:bottom>
    </x:border>
    <x:border>
      <x:top style="thin">
        <x:color rgb="FF666666"/>
      </x:top>
      <x:bottom style="thin">
        <x:color rgb="FF666666"/>
      </x:bottom>
    </x:border>
    <x:border>
      <x:right style="thin">
        <x:color rgb="FF666666"/>
      </x:right>
      <x:top style="thin">
        <x:color rgb="FF666666"/>
      </x:top>
      <x:bottom style="thin">
        <x:color rgb="FF666666"/>
      </x:bottom>
    </x:border>
    <x:border>
      <x:left style="thin">
        <x:color rgb="FF666666"/>
      </x:left>
      <x:top style="thin">
        <x:color rgb="FF666666"/>
      </x:top>
      <x:bottom style="thin">
        <x:color rgb="FF666666"/>
      </x:bottom>
    </x:border>
    <x:border>
      <x:top style="thin">
        <x:color rgb="FF666666"/>
      </x:top>
      <x:bottom style="thin">
        <x:color rgb="FF666666"/>
      </x:bottom>
    </x:border>
    <x:border>
      <x:right style="thin">
        <x:color rgb="FF666666"/>
      </x:right>
      <x:top style="thin">
        <x:color rgb="FF666666"/>
      </x:top>
      <x:bottom style="thin">
        <x:color rgb="FF666666"/>
      </x:bottom>
    </x:border>
    <x:border>
      <x:left style="thin">
        <x:color rgb="FFB7B7B7"/>
      </x:left>
      <x:top style="thin">
        <x:color rgb="FFB7B7B7"/>
      </x:top>
    </x:border>
    <x:border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  <x:border>
      <x:left style="thin">
        <x:color rgb="FFB7B7B7"/>
      </x:left>
      <x:top style="thin">
        <x:color rgb="FFB7B7B7"/>
      </x:top>
    </x:border>
    <x:border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  <x:border>
      <x:left style="thin">
        <x:color rgb="FFB7B7B7"/>
      </x:left>
      <x:top style="thin">
        <x:color rgb="FFB7B7B7"/>
      </x:top>
      <x:bottom style="thin">
        <x:color rgb="FFB7B7B7"/>
      </x:bottom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top style="thin">
        <x:color rgb="FFB7B7B7"/>
      </x:top>
      <x:bottom style="thin">
        <x:color rgb="FFB7B7B7"/>
      </x:bottom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/>
  </x:cellStyleXfs>
  <x:cellXfs count="1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3" fillId="3" borderId="7" xfId="0" applyNumberFormat="1" applyFont="1" applyFill="1" applyBorder="1" applyAlignment="1">
      <x:alignment horizont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10" xfId="0" applyNumberFormat="1" applyFont="1" applyFill="1" applyBorder="1"/>
    <x:xf numFmtId="200" fontId="0" fillId="0" borderId="0" xfId="0" applyNumberFormat="1" applyFont="1" applyFill="1" applyBorder="1"/>
    <x:xf numFmtId="200" fontId="0" fillId="0" borderId="15" xfId="0" applyNumberFormat="1" applyFont="1" applyFill="1" applyBorder="1"/>
    <x:xf numFmtId="200" fontId="0" fillId="0" borderId="18" xfId="0" applyNumberFormat="1" applyFont="1" applyFill="1" applyBorder="1"/>
    <x:xf numFmtId="200" fontId="0" fillId="0" borderId="1" xfId="0" applyNumberFormat="1" applyFont="1" applyFill="1" applyBorder="1"/>
    <x:xf numFmtId="200" fontId="0" fillId="0" borderId="23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4" xfId="0" applyNumberFormat="1" applyFont="1" applyFill="1" applyBorder="1"/>
    <x:xf numFmtId="0" fontId="5" fillId="4" borderId="25" xfId="0" applyNumberFormat="1" applyFont="1" applyFill="1" applyBorder="1"/>
    <x:xf numFmtId="0" fontId="5" fillId="4" borderId="26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27" xfId="0" applyNumberFormat="1" applyFont="1" applyFill="1" applyBorder="1"/>
    <x:xf numFmtId="0" fontId="5" fillId="4" borderId="28" xfId="0" applyNumberFormat="1" applyFont="1" applyFill="1" applyBorder="1"/>
    <x:xf numFmtId="0" fontId="5" fillId="4" borderId="29" xfId="0" applyNumberFormat="1" applyFont="1" applyFill="1" applyBorder="1"/>
    <x:xf numFmtId="0" fontId="0" fillId="5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0" fontId="0" fillId="5" borderId="17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22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2" xfId="0" applyNumberFormat="1" applyFont="1" applyFill="1" applyBorder="1" applyAlignment="1">
      <x:alignment wrapText="1"/>
    </x:xf>
    <x:xf numFmtId="0" fontId="0" fillId="6" borderId="19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2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19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6" fillId="6" borderId="20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23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left"/>
    </x:xf>
    <x:xf numFmtId="0" fontId="3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3" fillId="8" borderId="4" xfId="0" applyNumberFormat="1" applyFont="1" applyFill="1" applyBorder="1"/>
    <x:xf numFmtId="0" fontId="3" fillId="8" borderId="2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wrapText="1"/>
    </x:xf>
    <x:xf numFmtId="0" fontId="3" fillId="8" borderId="4" xfId="0" applyNumberFormat="1" applyFont="1" applyFill="1" applyBorder="1" applyAlignment="1">
      <x:alignment wrapText="1"/>
    </x:xf>
    <x:xf numFmtId="0" fontId="3" fillId="8" borderId="2" xfId="0" applyNumberFormat="1" applyFont="1" applyFill="1" applyBorder="1" applyAlignment="1">
      <x:alignment horizontal="center" wrapText="1"/>
    </x:xf>
    <x:xf numFmtId="0" fontId="3" fillId="8" borderId="3" xfId="0" applyNumberFormat="1" applyFont="1" applyFill="1" applyBorder="1" applyAlignment="1">
      <x:alignment horizontal="center" wrapText="1"/>
    </x:xf>
    <x:xf numFmtId="0" fontId="3" fillId="8" borderId="4" xfId="0" applyNumberFormat="1" applyFont="1" applyFill="1" applyBorder="1" applyAlignment="1">
      <x:alignment horizontal="center" wrapText="1"/>
    </x:xf>
    <x:xf numFmtId="0" fontId="3" fillId="8" borderId="2" xfId="0" applyNumberFormat="1" applyFont="1" applyFill="1" applyBorder="1" applyAlignment="1">
      <x:alignment horizontal="center" vertical="center" wrapText="1"/>
    </x:xf>
    <x:xf numFmtId="0" fontId="3" fillId="8" borderId="3" xfId="0" applyNumberFormat="1" applyFont="1" applyFill="1" applyBorder="1" applyAlignment="1">
      <x:alignment horizontal="center" vertical="center" wrapText="1"/>
    </x:xf>
    <x:xf numFmtId="0" fontId="3" fillId="8" borderId="4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24" xfId="0" applyNumberFormat="1" applyFont="1" applyFill="1" applyBorder="1"/>
    <x:xf numFmtId="0" fontId="5" fillId="9" borderId="25" xfId="0" applyNumberFormat="1" applyFont="1" applyFill="1" applyBorder="1"/>
    <x:xf numFmtId="0" fontId="5" fillId="9" borderId="2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ab44729a1343d1" /><Relationship Type="http://schemas.openxmlformats.org/officeDocument/2006/relationships/theme" Target="/xl/theme/theme1.xml" Id="Rf3666b55c36449c5" /><Relationship Type="http://schemas.openxmlformats.org/officeDocument/2006/relationships/sharedStrings" Target="/xl/sharedStrings.xml" Id="R5b04e1317b684014" /><Relationship Type="http://schemas.openxmlformats.org/officeDocument/2006/relationships/worksheet" Target="/xl/worksheets/sheet1.xml" Id="Rb0f94e4b1dee442d" /><Relationship Type="http://schemas.openxmlformats.org/officeDocument/2006/relationships/worksheet" Target="/xl/worksheets/sheet2.xml" Id="Rc9697771553345a5" /><Relationship Type="http://schemas.openxmlformats.org/officeDocument/2006/relationships/worksheet" Target="/xl/worksheets/sheet3.xml" Id="Rb36b30a9c6c94f7c" /><Relationship Type="http://schemas.openxmlformats.org/officeDocument/2006/relationships/worksheet" Target="/xl/worksheets/sheet4.xml" Id="R66f7f5e2992f45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15" hidden="0" customWidth="1"/>
    <x:col min="4" max="4" width="32" hidden="0" customWidth="1"/>
    <x:col min="5" max="5" width="45" hidden="0" customWidth="1"/>
    <x:col min="6" max="6" width="42" hidden="0" customWidth="1"/>
    <x:col min="7" max="7" width="18" hidden="0" customWidth="1"/>
    <x:col min="8" max="8" width="48" hidden="0" customWidth="1"/>
    <x:col min="9" max="9" width="34" hidden="0" customWidth="1"/>
  </x:cols>
  <x:sheetData>
    <x:row r="1" ht="34" customHeight="1">
      <x:c r="A1" s="5" t="str">
        <x:v>ĐẶC TẢ HỆ THỐNG CHẤM ĐIỂM XU HƯỚNG CỔ PHIẾU</x:v>
      </x:c>
      <x:c r="B1" s="5"/>
      <x:c r="C1" s="5"/>
      <x:c r="D1" s="5"/>
      <x:c r="E1" s="5"/>
      <x:c r="F1" s="5"/>
      <x:c r="G1" s="5"/>
      <x:c r="H1" s="5"/>
      <x:c r="I1" s="5"/>
    </x:row>
    <x:row r="2" ht="34" customHeight="1">
      <x:c r="A2" s="11" t="str">
        <x:v>Thay thế module Nền giá (BQS) cũ — tài liệu bàn giao cho IT</x:v>
      </x:c>
      <x:c r="B2" s="11"/>
      <x:c r="C2" s="11"/>
      <x:c r="D2" s="11"/>
      <x:c r="E2" s="11"/>
      <x:c r="F2" s="11"/>
      <x:c r="G2" s="11"/>
      <x:c r="H2" s="11"/>
      <x:c r="I2" s="11"/>
    </x:row>
    <x:row r="3" ht="34" customHeight="1"/>
    <x:row r="4" ht="34" customHeight="1">
      <x:c r="A4" s="25" t="str">
        <x:v>STT</x:v>
      </x:c>
      <x:c r="B4" s="26" t="str">
        <x:v>Module/Tiêu chí</x:v>
      </x:c>
      <x:c r="C4" s="26" t="str">
        <x:v>Áp dụng cho</x:v>
      </x:c>
      <x:c r="D4" s="26" t="str">
        <x:v>Mục tiêu</x:v>
      </x:c>
      <x:c r="E4" s="26" t="str">
        <x:v>Điều kiện/Định nghĩa tự động</x:v>
      </x:c>
      <x:c r="F4" s="26" t="str">
        <x:v>Công thức/Logic cho IT</x:v>
      </x:c>
      <x:c r="G4" s="26" t="str">
        <x:v>Thang điểm</x:v>
      </x:c>
      <x:c r="H4" s="26" t="str">
        <x:v>Hướng dẫn triển khai chi tiết</x:v>
      </x:c>
      <x:c r="I4" s="27" t="str">
        <x:v>Ghi chú</x:v>
      </x:c>
    </x:row>
    <x:row r="5" ht="34" customHeight="1">
      <x:c r="A5" s="44" t="n">
        <x:v>1</x:v>
      </x:c>
      <x:c r="B5" s="103" t="str">
        <x:v>Điểm Xu hướng ngày</x:v>
      </x:c>
      <x:c r="C5" s="45" t="str">
        <x:v>Toàn bộ cổ phiếu</x:v>
      </x:c>
      <x:c r="D5" s="45" t="str">
        <x:v>Đo mức hoàn thiện cấu trúc xu hướng trên chart ngày</x:v>
      </x:c>
      <x:c r="E5" s="45" t="str">
        <x:v>Chấm theo cấu trúc O → K → A → D1 → A1 → D2/A2; dữ liệu xét 1,5 năm; dùng ZigZag để nhận diện đỉnh/đáy.</x:v>
      </x:c>
      <x:c r="F5" s="45" t="str">
        <x:v>DailyTrendScore = điểm trạng thái theo đặc tả sheet 'Trend ngày'.</x:v>
      </x:c>
      <x:c r="G5" s="45" t="str">
        <x:v>0–100</x:v>
      </x:c>
      <x:c r="H5" s="45" t="str">
        <x:v>Chạy sau khi có dữ liệu giá, MA200 ngày, High52W và ZigZag. Lưu state cấu trúc để không phải nhận diện lại từ đầu mỗi phiên.</x:v>
      </x:c>
      <x:c r="I5" s="46" t="str">
        <x:v>Không cộng máy móc 5 tiêu chí; phải tuân thủ quy tắc trạng thái/ưu tiên.</x:v>
      </x:c>
    </x:row>
    <x:row r="6" ht="34" customHeight="1">
      <x:c r="A6" s="47" t="n">
        <x:v>2</x:v>
      </x:c>
      <x:c r="B6" s="104" t="str">
        <x:v>Điểm Xu hướng tuần</x:v>
      </x:c>
      <x:c r="C6" s="42" t="str">
        <x:v>Toàn bộ cổ phiếu</x:v>
      </x:c>
      <x:c r="D6" s="42" t="str">
        <x:v>Đo mức hoàn thiện cấu trúc xu hướng trên chart tuần</x:v>
      </x:c>
      <x:c r="E6" s="42" t="str">
        <x:v>Chấm theo cấu trúc O → K → A → A1 → D1 → A2 → D2...; dữ liệu xét 1,5 năm; ZigZag trên chart tuần.</x:v>
      </x:c>
      <x:c r="F6" s="42" t="str">
        <x:v>WeeklyTrendScore = điểm trạng thái theo đặc tả sheet 'Trend tuần'.</x:v>
      </x:c>
      <x:c r="G6" s="42" t="str">
        <x:v>0–100</x:v>
      </x:c>
      <x:c r="H6" s="42" t="str">
        <x:v>Hard rule đầu tiên: nếu Weekly Close &lt; MA200 ngày thì WeeklyTrendScore = 0 và dừng.</x:v>
      </x:c>
      <x:c r="I6" s="48" t="str">
        <x:v>Quy tắc MA200 ngày là tuyệt đối, không ngoại lệ.</x:v>
      </x:c>
    </x:row>
    <x:row r="7" ht="34" customHeight="1">
      <x:c r="A7" s="47" t="n">
        <x:v>3</x:v>
      </x:c>
      <x:c r="B7" s="104" t="str">
        <x:v>Điểm Xu hướng tổng hợp</x:v>
      </x:c>
      <x:c r="C7" s="42" t="str">
        <x:v>Toàn bộ cổ phiếu</x:v>
      </x:c>
      <x:c r="D7" s="42" t="str">
        <x:v>Tạo một điểm duy nhất cho cột XU HƯỚNG CỔ PHIẾU</x:v>
      </x:c>
      <x:c r="E7" s="42" t="str">
        <x:v>Tỷ trọng: 60% Xu hướng ngày + 40% Xu hướng tuần.</x:v>
      </x:c>
      <x:c r="F7" s="42" t="str">
        <x:v>TrendScore = DailyTrendScore*60% + WeeklyTrendScore*40%</x:v>
      </x:c>
      <x:c r="G7" s="42" t="str">
        <x:v>0–100</x:v>
      </x:c>
      <x:c r="H7" s="42" t="str">
        <x:v>Tính sau khi hoàn tất 2 module ngày và tuần. Nên lưu cả 3 trường: DailyTrendScore, WeeklyTrendScore, TrendScore.</x:v>
      </x:c>
      <x:c r="I7" s="48" t="str">
        <x:v>Đây là điểm thay thế Điểm BQS cũ.</x:v>
      </x:c>
    </x:row>
    <x:row r="8" ht="34" customHeight="1">
      <x:c r="A8" s="49" t="n">
        <x:v>4</x:v>
      </x:c>
      <x:c r="B8" s="105" t="str">
        <x:v>Cấu trúc giao diện mới</x:v>
      </x:c>
      <x:c r="C8" s="50" t="str">
        <x:v>TA Pro</x:v>
      </x:c>
      <x:c r="D8" s="50" t="str">
        <x:v>Hiển thị rõ xu hướng và hành động</x:v>
      </x:c>
      <x:c r="E8" s="50" t="str">
        <x:v>Điểm | Xu hướng tuần | Xu hướng ngày | Biểu đồ | Trạng thái | Hành động | Chất xúc tác | Giao dịch</x:v>
      </x:c>
      <x:c r="F8" s="50" t="str">
        <x:v>UI đọc trực tiếp từ các state/score đã tính.</x:v>
      </x:c>
      <x:c r="G8" s="50" t="str">
        <x:v>—</x:v>
      </x:c>
      <x:c r="H8" s="50" t="str">
        <x:v>Không dùng lại các cột 'Loại nền' và 'Trạng thái nền' của BQS cũ.</x:v>
      </x:c>
      <x:c r="I8" s="51" t="str">
        <x:v>Phần Trạng thái/Hành động sẽ map từ state xu hướng.</x:v>
      </x:c>
    </x:row>
    <x:row r="9" ht="34" customHeight="1"/>
    <x:row r="10" ht="34" customHeight="1">
      <x:c r="A10" s="62" t="str">
        <x:v>CÔNG THỨC ĐIỂM XU HƯỚNG TỔNG HỢP</x:v>
      </x:c>
      <x:c r="B10" s="62"/>
      <x:c r="C10" s="62"/>
      <x:c r="D10" s="62"/>
      <x:c r="E10" s="62"/>
      <x:c r="F10" s="62"/>
      <x:c r="G10" s="62"/>
      <x:c r="H10" s="62"/>
      <x:c r="I10" s="62"/>
    </x:row>
    <x:row r="11" ht="34" customHeight="1">
      <x:c r="A11" s="25" t="str">
        <x:v>Biến</x:v>
      </x:c>
      <x:c r="B11" s="26" t="str">
        <x:v>Ý nghĩa</x:v>
      </x:c>
      <x:c r="C11" s="26" t="str">
        <x:v>Tỷ trọng</x:v>
      </x:c>
      <x:c r="D11" s="27" t="str">
        <x:v>Công thức</x:v>
      </x:c>
      <x:c r="F11" s="25" t="str">
        <x:v>Ví dụ</x:v>
      </x:c>
      <x:c r="G11" s="26" t="str">
        <x:v>Ngày</x:v>
      </x:c>
      <x:c r="H11" s="26" t="str">
        <x:v>Tuần</x:v>
      </x:c>
      <x:c r="I11" s="27" t="str">
        <x:v>Điểm tổng hợp</x:v>
      </x:c>
    </x:row>
    <x:row r="12" ht="34" customHeight="1">
      <x:c r="A12" s="44" t="str">
        <x:v>DailyTrendScore</x:v>
      </x:c>
      <x:c r="B12" s="45" t="str">
        <x:v>Điểm xu hướng ngày</x:v>
      </x:c>
      <x:c r="C12" s="121" t="n">
        <x:v>0.6</x:v>
      </x:c>
      <x:c r="D12" s="122" t="n">
        <x:f>C12</x:f>
        <x:v>0.6</x:v>
      </x:c>
      <x:c r="F12" s="44" t="str">
        <x:v>TH1</x:v>
      </x:c>
      <x:c r="G12" s="45" t="n">
        <x:v>100</x:v>
      </x:c>
      <x:c r="H12" s="45" t="n">
        <x:v>100</x:v>
      </x:c>
      <x:c r="I12" s="46" t="n">
        <x:f>G12*$C$12+H12*$C$13</x:f>
        <x:v>100</x:v>
      </x:c>
    </x:row>
    <x:row r="13" ht="34" customHeight="1">
      <x:c r="A13" s="49" t="str">
        <x:v>WeeklyTrendScore</x:v>
      </x:c>
      <x:c r="B13" s="50" t="str">
        <x:v>Điểm xu hướng tuần</x:v>
      </x:c>
      <x:c r="C13" s="123" t="n">
        <x:v>0.4</x:v>
      </x:c>
      <x:c r="D13" s="122" t="n">
        <x:f>C13</x:f>
        <x:v>0.4</x:v>
      </x:c>
      <x:c r="F13" s="47" t="str">
        <x:v>TH2</x:v>
      </x:c>
      <x:c r="G13" s="42" t="n">
        <x:v>100</x:v>
      </x:c>
      <x:c r="H13" s="42" t="n">
        <x:v>80</x:v>
      </x:c>
      <x:c r="I13" s="48" t="n">
        <x:f>G13*$C$12+H13*$C$13</x:f>
        <x:v>92</x:v>
      </x:c>
    </x:row>
    <x:row r="14" ht="34" customHeight="1">
      <x:c r="F14" s="49" t="str">
        <x:v>TH3</x:v>
      </x:c>
      <x:c r="G14" s="50" t="n">
        <x:v>60</x:v>
      </x:c>
      <x:c r="H14" s="50" t="n">
        <x:v>100</x:v>
      </x:c>
      <x:c r="I14" s="51" t="n">
        <x:f>G14*$C$12+H14*$C$13</x:f>
        <x:v>76</x:v>
      </x:c>
    </x:row>
    <x:row r="15" ht="34" customHeight="1"/>
    <x:row r="16" ht="34" customHeight="1"/>
    <x:row r="17" ht="34" customHeight="1"/>
    <x:row r="18" ht="34" customHeight="1"/>
    <x:row r="19" ht="34" customHeight="1"/>
    <x:row r="20" ht="34" customHeight="1"/>
    <x:row r="21" ht="34" customHeight="1"/>
    <x:row r="22" ht="34" customHeight="1"/>
    <x:row r="23" ht="34" customHeight="1"/>
    <x:row r="24" ht="34" customHeight="1"/>
    <x:row r="25" ht="34" customHeight="1"/>
    <x:row r="26" ht="34" customHeight="1"/>
    <x:row r="27" ht="34" customHeight="1"/>
    <x:row r="28" ht="34" customHeight="1"/>
    <x:row r="29" ht="34" customHeight="1"/>
    <x:row r="30" ht="34" customHeight="1"/>
    <x:row r="31" ht="34" customHeight="1"/>
    <x:row r="32" ht="34" customHeight="1"/>
    <x:row r="33" ht="34" customHeight="1"/>
    <x:row r="34" ht="34" customHeight="1"/>
    <x:row r="35" ht="34" customHeight="1"/>
    <x:row r="36" ht="34" customHeight="1"/>
    <x:row r="37" ht="34" customHeight="1"/>
    <x:row r="38" ht="34" customHeight="1"/>
    <x:row r="39" ht="34" customHeight="1"/>
    <x:row r="40" ht="34" customHeight="1"/>
    <x:row r="41" ht="34" customHeight="1"/>
    <x:row r="42" ht="34" customHeight="1"/>
    <x:row r="43" ht="34" customHeight="1"/>
    <x:row r="44" ht="34" customHeight="1"/>
    <x:row r="45" ht="34" customHeight="1"/>
    <x:row r="46" ht="34" customHeight="1"/>
    <x:row r="47" ht="34" customHeight="1"/>
    <x:row r="48" ht="34" customHeight="1"/>
    <x:row r="49" ht="34" customHeight="1"/>
    <x:row r="50" ht="34" customHeight="1"/>
    <x:row r="51" ht="34" customHeight="1"/>
    <x:row r="52" ht="34" customHeight="1"/>
    <x:row r="53" ht="34" customHeight="1"/>
    <x:row r="54" ht="34" customHeight="1"/>
    <x:row r="55" ht="34" customHeight="1"/>
    <x:row r="56" ht="34" customHeight="1"/>
    <x:row r="57" ht="34" customHeight="1"/>
    <x:row r="58" ht="34" customHeight="1"/>
    <x:row r="59" ht="34" customHeight="1"/>
    <x:row r="60" ht="34" customHeight="1"/>
  </x:sheetData>
  <x:mergeCells>
    <x:mergeCell ref="A1:I1"/>
    <x:mergeCell ref="A2:I2"/>
    <x:mergeCell ref="A10:I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15" hidden="0" customWidth="1"/>
    <x:col min="4" max="4" width="32" hidden="0" customWidth="1"/>
    <x:col min="5" max="5" width="45" hidden="0" customWidth="1"/>
    <x:col min="6" max="6" width="42" hidden="0" customWidth="1"/>
    <x:col min="7" max="7" width="18" hidden="0" customWidth="1"/>
    <x:col min="8" max="8" width="48" hidden="0" customWidth="1"/>
    <x:col min="9" max="9" width="34" hidden="0" customWidth="1"/>
  </x:cols>
  <x:sheetData>
    <x:row r="1" ht="34" customHeight="1">
      <x:c r="A1" s="90" t="str">
        <x:v>ĐẶC TẢ CHẤM ĐIỂM XU HƯỚNG NGÀY</x:v>
      </x:c>
      <x:c r="B1" s="90"/>
      <x:c r="C1" s="90"/>
      <x:c r="D1" s="90"/>
      <x:c r="E1" s="90"/>
      <x:c r="F1" s="90"/>
      <x:c r="G1" s="90"/>
      <x:c r="H1" s="90"/>
      <x:c r="I1" s="90"/>
    </x:row>
    <x:row r="2" ht="34" customHeight="1"/>
    <x:row r="3" ht="34" customHeight="1">
      <x:c r="A3" s="25" t="str">
        <x:v>STT</x:v>
      </x:c>
      <x:c r="B3" s="26" t="str">
        <x:v>Module/Tiêu chí</x:v>
      </x:c>
      <x:c r="C3" s="26" t="str">
        <x:v>Áp dụng cho</x:v>
      </x:c>
      <x:c r="D3" s="26" t="str">
        <x:v>Mục tiêu</x:v>
      </x:c>
      <x:c r="E3" s="26" t="str">
        <x:v>Điều kiện/Định nghĩa tự động</x:v>
      </x:c>
      <x:c r="F3" s="26" t="str">
        <x:v>Công thức/Logic cho IT</x:v>
      </x:c>
      <x:c r="G3" s="26" t="str">
        <x:v>Thang điểm</x:v>
      </x:c>
      <x:c r="H3" s="26" t="str">
        <x:v>Hướng dẫn triển khai chi tiết</x:v>
      </x:c>
      <x:c r="I3" s="27" t="str">
        <x:v>Ghi chú</x:v>
      </x:c>
    </x:row>
    <x:row r="4" ht="34" customHeight="1">
      <x:c r="A4" s="44" t="n">
        <x:v>1</x:v>
      </x:c>
      <x:c r="B4" s="103" t="str">
        <x:v>Khung dữ liệu</x:v>
      </x:c>
      <x:c r="C4" s="45" t="str">
        <x:v>Trend ngày</x:v>
      </x:c>
      <x:c r="D4" s="45" t="str">
        <x:v>Đủ dữ liệu cho 52 tuần và cấu trúc ZigZag</x:v>
      </x:c>
      <x:c r="E4" s="45" t="str">
        <x:v>Xét lịch sử 1,5 năm. Dùng ZigZag để nhận diện O, K, A, D1, A1, D2, A2.</x:v>
      </x:c>
      <x:c r="F4" s="45" t="str">
        <x:v>Lookback ≈ 1.5 năm; ZigZag chạy trên dữ liệu ngày.</x:v>
      </x:c>
      <x:c r="G4" s="45" t="str">
        <x:v>Pass/Fail</x:v>
      </x:c>
      <x:c r="H4" s="45" t="str">
        <x:v>Tính các swing point trước, sau đó xác định state hiện hành.</x:v>
      </x:c>
      <x:c r="I4" s="46" t="str">
        <x:v>Không lấy thêm tiêu chí ngoài hệ thống này.</x:v>
      </x:c>
    </x:row>
    <x:row r="5" ht="34" customHeight="1">
      <x:c r="A5" s="47" t="n">
        <x:v>2</x:v>
      </x:c>
      <x:c r="B5" s="104" t="str">
        <x:v>Điều kiện O–K</x:v>
      </x:c>
      <x:c r="C5" s="42" t="str">
        <x:v>Trend ngày</x:v>
      </x:c>
      <x:c r="D5" s="42" t="str">
        <x:v>Chỉ bắt đầu chấm khi đã có cấu trúc giảm hoàn chỉnh</x:v>
      </x:c>
      <x:c r="E5" s="42" t="str">
        <x:v>O = đỉnh cuối cùng sau khi kết thúc một xu hướng giảm. K = đáy thấp nhất cuối cùng của xu hướng giảm.</x:v>
      </x:c>
      <x:c r="F5" s="42" t="str">
        <x:v>Nếu chưa xác định được đồng thời O và K → DailyTrendScore = 0.</x:v>
      </x:c>
      <x:c r="G5" s="42" t="str">
        <x:v>0</x:v>
      </x:c>
      <x:c r="H5" s="42" t="str">
        <x:v>Đây là gate đầu tiên của cấu trúc.</x:v>
      </x:c>
      <x:c r="I5" s="48" t="str">
        <x:v>Không có O và K thì mọi trường hợp = 0.</x:v>
      </x:c>
    </x:row>
    <x:row r="6" ht="34" customHeight="1">
      <x:c r="A6" s="47" t="n">
        <x:v>3</x:v>
      </x:c>
      <x:c r="B6" s="104" t="str">
        <x:v>TC1 – Khoảng cách đỉnh 52W</x:v>
      </x:c>
      <x:c r="C6" s="42" t="str">
        <x:v>Trend ngày</x:v>
      </x:c>
      <x:c r="D6" s="42" t="str">
        <x:v>Loại cổ phiếu quá xa đỉnh 52 tuần</x:v>
      </x:c>
      <x:c r="E6" s="42" t="str">
        <x:v>Giá hiện tại cách đỉnh 52W không quá -25%.</x:v>
      </x:c>
      <x:c r="F6" s="42" t="str">
        <x:v>Dist52W = Close/High52W - 1; đạt khi Dist52W &gt;= -25%.</x:v>
      </x:c>
      <x:c r="G6" s="42" t="str">
        <x:v>+15</x:v>
      </x:c>
      <x:c r="H6" s="42" t="str">
        <x:v>Nếu chưa có O–K và không đạt TC1 → 0. Nếu đã có O–K nhưng không đạt TC1, hệ thống vẫn có thể còn 15 điểm theo quy tắc đặc biệt bên dưới.</x:v>
      </x:c>
      <x:c r="I6" s="48" t="str">
        <x:v>Giữ đúng logic người dùng đưa ra.</x:v>
      </x:c>
    </x:row>
    <x:row r="7" ht="34" customHeight="1">
      <x:c r="A7" s="47" t="n">
        <x:v>4</x:v>
      </x:c>
      <x:c r="B7" s="104" t="str">
        <x:v>TC2 – MA200 ngày</x:v>
      </x:c>
      <x:c r="C7" s="42" t="str">
        <x:v>Trend ngày</x:v>
      </x:c>
      <x:c r="D7" s="42" t="str">
        <x:v>Kiểm tra giá trên xu hướng dài hạn</x:v>
      </x:c>
      <x:c r="E7" s="42" t="str">
        <x:v>Giá hiện tại &gt; MA200 ngày.</x:v>
      </x:c>
      <x:c r="F7" s="42" t="str">
        <x:v>Pass nếu Close &gt; MA200_Daily.</x:v>
      </x:c>
      <x:c r="G7" s="42" t="str">
        <x:v>+15</x:v>
      </x:c>
      <x:c r="H7" s="42" t="str">
        <x:v>Nếu đã có O–K nhưng giá &lt; MA200 ngày → DailyTrendScore = 15 theo quy tắc đặc biệt của Trend ngày.</x:v>
      </x:c>
      <x:c r="I7" s="48" t="str">
        <x:v>Khác Trend tuần: Trend ngày KHÔNG có hard rule 0 dưới MA200.</x:v>
      </x:c>
    </x:row>
    <x:row r="8" ht="34" customHeight="1">
      <x:c r="A8" s="47" t="n">
        <x:v>5</x:v>
      </x:c>
      <x:c r="B8" s="104" t="str">
        <x:v>TC3 – Điểm A</x:v>
      </x:c>
      <x:c r="C8" s="42" t="str">
        <x:v>Trend ngày</x:v>
      </x:c>
      <x:c r="D8" s="42" t="str">
        <x:v>Xác nhận xu hướng giảm đã bị phá</x:v>
      </x:c>
      <x:c r="E8" s="42" t="str">
        <x:v>A = điểm giá đóng cửa vượt đỉnh O. Điều kiện: giá tại A &gt; giá tại O.</x:v>
      </x:c>
      <x:c r="F8" s="42" t="str">
        <x:v>Khi Close &gt; O và hình thành A → TC3 đạt.</x:v>
      </x:c>
      <x:c r="G8" s="42" t="str">
        <x:v>+30</x:v>
      </x:c>
      <x:c r="H8" s="42" t="str">
        <x:v>Nếu đồng thời TC1 + TC2 đạt, tại A có thể đạt 60 điểm.</x:v>
      </x:c>
      <x:c r="I8" s="48" t="str">
        <x:v>A là điểm phá xu hướng giảm.</x:v>
      </x:c>
    </x:row>
    <x:row r="9" ht="34" customHeight="1">
      <x:c r="A9" s="47" t="n">
        <x:v>6</x:v>
      </x:c>
      <x:c r="B9" s="104" t="str">
        <x:v>TC4 – Vùng D1</x:v>
      </x:c>
      <x:c r="C9" s="42" t="str">
        <x:v>Trend ngày</x:v>
      </x:c>
      <x:c r="D9" s="42" t="str">
        <x:v>Xác nhận nhịp điều chỉnh còn nằm trong cấu trúc phục hồi</x:v>
      </x:c>
      <x:c r="E9" s="42" t="str">
        <x:v>D1 nằm giữa K và A: K &lt; D1 &lt; A.</x:v>
      </x:c>
      <x:c r="F9" s="42" t="str">
        <x:v>D1 valid nếu K &lt; Close/swing_D1 &lt; A.</x:v>
      </x:c>
      <x:c r="G9" s="42" t="str">
        <x:v>+10 (tiêu chí cấu trúc)</x:v>
      </x:c>
      <x:c r="H9" s="42" t="str">
        <x:v>Theo quy tắc trạng thái đã nêu: sau khi có A, các điểm D1 được giữ mức 60 điểm; không cộng máy móc thành 70.</x:v>
      </x:c>
      <x:c r="I9" s="48" t="str">
        <x:v>IT phải ưu tiên bảng trạng thái bên dưới hơn phép cộng thuần túy.</x:v>
      </x:c>
    </x:row>
    <x:row r="10" ht="34" customHeight="1">
      <x:c r="A10" s="47" t="n">
        <x:v>7</x:v>
      </x:c>
      <x:c r="B10" s="104" t="str">
        <x:v>TC5 – Điểm A1</x:v>
      </x:c>
      <x:c r="C10" s="42" t="str">
        <x:v>Trend ngày</x:v>
      </x:c>
      <x:c r="D10" s="42" t="str">
        <x:v>Xác nhận xu hướng tăng hoàn chỉnh</x:v>
      </x:c>
      <x:c r="E10" s="42" t="str">
        <x:v>A1 xuất hiện khi giá từ D1 đi lên và đóng cửa vượt A.</x:v>
      </x:c>
      <x:c r="F10" s="42" t="str">
        <x:v>Nếu Close_A1 &gt; A → xác nhận full uptrend.</x:v>
      </x:c>
      <x:c r="G10" s="42" t="str">
        <x:v>+30</x:v>
      </x:c>
      <x:c r="H10" s="42" t="str">
        <x:v>Khi A1 xuất hiện → DailyTrendScore = 100.</x:v>
      </x:c>
      <x:c r="I10" s="48" t="str">
        <x:v>A1 là mốc hoàn thành cấu trúc tăng.</x:v>
      </x:c>
    </x:row>
    <x:row r="11" ht="34" customHeight="1">
      <x:c r="A11" s="47" t="n">
        <x:v>8</x:v>
      </x:c>
      <x:c r="B11" s="104" t="str">
        <x:v>Duy trì sau A1</x:v>
      </x:c>
      <x:c r="C11" s="42" t="str">
        <x:v>Trend ngày</x:v>
      </x:c>
      <x:c r="D11" s="42" t="str">
        <x:v>Giữ điểm khi xu hướng tăng chưa bị phá</x:v>
      </x:c>
      <x:c r="E11" s="42" t="str">
        <x:v>Sau A1, các vùng giá còn nằm trên D1 tiếp tục được coi là xu hướng tăng hoàn chỉnh.</x:v>
      </x:c>
      <x:c r="F11" s="42" t="str">
        <x:v>Nếu CurrentClose &gt; D1 sau khi A1 đã xác nhận → DailyTrendScore = 100.</x:v>
      </x:c>
      <x:c r="G11" s="42" t="str">
        <x:v>100</x:v>
      </x:c>
      <x:c r="H11" s="42" t="str">
        <x:v>Bao gồm D2 và A2 khi cấu trúc vẫn nằm trên D1.</x:v>
      </x:c>
      <x:c r="I11" s="48" t="str">
        <x:v>Các vùng sau A1 nằm trên D1 = vùng canh mua.</x:v>
      </x:c>
    </x:row>
    <x:row r="12" ht="34" customHeight="1">
      <x:c r="A12" s="47" t="n">
        <x:v>9</x:v>
      </x:c>
      <x:c r="B12" s="104" t="str">
        <x:v>D2 / A2</x:v>
      </x:c>
      <x:c r="C12" s="42" t="str">
        <x:v>Trend ngày</x:v>
      </x:c>
      <x:c r="D12" s="42" t="str">
        <x:v>Nhận diện nhịp điều chỉnh và đỉnh tiếp theo trong uptrend</x:v>
      </x:c>
      <x:c r="E12" s="42" t="str">
        <x:v>D2 là vùng điều chỉnh sau khi trend tăng đã hình thành; A2 &gt; A1 tiếp tục xác nhận xu hướng.</x:v>
      </x:c>
      <x:c r="F12" s="42" t="str">
        <x:v>D2 còn trên D1 → 100; A2 &gt; A1 → 100.</x:v>
      </x:c>
      <x:c r="G12" s="42" t="str">
        <x:v>100</x:v>
      </x:c>
      <x:c r="H12" s="42" t="str">
        <x:v>D2 là vùng mua tiềm năng theo mô tả.</x:v>
      </x:c>
      <x:c r="I12" s="48" t="str">
        <x:v>Không reset khi chỉ điều chỉnh bình thường.</x:v>
      </x:c>
    </x:row>
    <x:row r="13" ht="34" customHeight="1">
      <x:c r="A13" s="49" t="n">
        <x:v>10</x:v>
      </x:c>
      <x:c r="B13" s="105" t="str">
        <x:v>Reset cấu trúc</x:v>
      </x:c>
      <x:c r="C13" s="50" t="str">
        <x:v>Trend ngày</x:v>
      </x:c>
      <x:c r="D13" s="50" t="str">
        <x:v>Bắt đầu lại khi xu hướng tăng bị phá</x:v>
      </x:c>
      <x:c r="E13" s="50" t="str">
        <x:v>Chỉ quay lại xét từ đầu khi giá từ vùng A2/D2 quay về thủng D1.</x:v>
      </x:c>
      <x:c r="F13" s="50" t="str">
        <x:v>Nếu CurrentClose &lt; D1 sau A1 → reset state; tìm lại O–K–A...</x:v>
      </x:c>
      <x:c r="G13" s="50" t="str">
        <x:v>Reset</x:v>
      </x:c>
      <x:c r="H13" s="50" t="str">
        <x:v>Xóa state xu hướng tăng cũ và xây cấu trúc mới.</x:v>
      </x:c>
      <x:c r="I13" s="51" t="str">
        <x:v>Mốc reset là D1.</x:v>
      </x:c>
    </x:row>
    <x:row r="14" ht="34" customHeight="1"/>
    <x:row r="15" ht="34" customHeight="1">
      <x:c r="A15" s="62" t="str">
        <x:v>BẢNG TRẠNG THÁI / ĐIỂM ƯU TIÊN — TREND NGÀY</x:v>
      </x:c>
      <x:c r="B15" s="62"/>
      <x:c r="C15" s="62"/>
      <x:c r="D15" s="62"/>
      <x:c r="E15" s="62"/>
      <x:c r="F15" s="62"/>
      <x:c r="G15" s="62"/>
      <x:c r="H15" s="62"/>
      <x:c r="I15" s="62"/>
    </x:row>
    <x:row r="16" ht="34" customHeight="1">
      <x:c r="A16" s="25" t="str">
        <x:v>State</x:v>
      </x:c>
      <x:c r="B16" s="26" t="str">
        <x:v>Điều kiện</x:v>
      </x:c>
      <x:c r="C16" s="26" t="str">
        <x:v>Điểm ngày</x:v>
      </x:c>
      <x:c r="D16" s="26" t="str">
        <x:v>Trạng thái gợi ý</x:v>
      </x:c>
      <x:c r="E16" s="26" t="str">
        <x:v>Hành động gợi ý</x:v>
      </x:c>
      <x:c r="F16" s="27" t="str">
        <x:v>Ưu tiên logic</x:v>
      </x:c>
    </x:row>
    <x:row r="17" ht="34" customHeight="1">
      <x:c r="A17" s="44" t="str">
        <x:v>NO_OK</x:v>
      </x:c>
      <x:c r="B17" s="45" t="str">
        <x:v>Chưa có đồng thời O và K</x:v>
      </x:c>
      <x:c r="C17" s="45" t="n">
        <x:v>0</x:v>
      </x:c>
      <x:c r="D17" s="45" t="str">
        <x:v>Chưa có cấu trúc</x:v>
      </x:c>
      <x:c r="E17" s="45" t="str">
        <x:v>Theo dõi</x:v>
      </x:c>
      <x:c r="F17" s="46" t="str">
        <x:v>1</x:v>
      </x:c>
    </x:row>
    <x:row r="18" ht="34" customHeight="1">
      <x:c r="A18" s="47" t="str">
        <x:v>OK_BELOW_52W</x:v>
      </x:c>
      <x:c r="B18" s="42" t="str">
        <x:v>Đã có O–K; Dist52W &lt; -25%</x:v>
      </x:c>
      <x:c r="C18" s="42" t="n">
        <x:v>15</x:v>
      </x:c>
      <x:c r="D18" s="42" t="str">
        <x:v>Cấu trúc yếu</x:v>
      </x:c>
      <x:c r="E18" s="42" t="str">
        <x:v>Theo dõi</x:v>
      </x:c>
      <x:c r="F18" s="48" t="str">
        <x:v>2</x:v>
      </x:c>
    </x:row>
    <x:row r="19" ht="34" customHeight="1">
      <x:c r="A19" s="47" t="str">
        <x:v>OK_BELOW_MA200</x:v>
      </x:c>
      <x:c r="B19" s="42" t="str">
        <x:v>Đã có O–K; giá &lt; MA200 ngày</x:v>
      </x:c>
      <x:c r="C19" s="42" t="n">
        <x:v>15</x:v>
      </x:c>
      <x:c r="D19" s="42" t="str">
        <x:v>Cấu trúc yếu</x:v>
      </x:c>
      <x:c r="E19" s="42" t="str">
        <x:v>Theo dõi</x:v>
      </x:c>
      <x:c r="F19" s="48" t="str">
        <x:v>2</x:v>
      </x:c>
    </x:row>
    <x:row r="20" ht="34" customHeight="1">
      <x:c r="A20" s="47" t="str">
        <x:v>A_CONFIRMED</x:v>
      </x:c>
      <x:c r="B20" s="42" t="str">
        <x:v>Đã có A; TC1 + TC2 đạt; A &gt; O</x:v>
      </x:c>
      <x:c r="C20" s="42" t="n">
        <x:v>60</x:v>
      </x:c>
      <x:c r="D20" s="42" t="str">
        <x:v>Phá xu hướng giảm</x:v>
      </x:c>
      <x:c r="E20" s="42" t="str">
        <x:v>Theo dõi/Canh mua</x:v>
      </x:c>
      <x:c r="F20" s="48" t="str">
        <x:v>3</x:v>
      </x:c>
    </x:row>
    <x:row r="21" ht="34" customHeight="1">
      <x:c r="A21" s="47" t="str">
        <x:v>D1</x:v>
      </x:c>
      <x:c r="B21" s="42" t="str">
        <x:v>Đã có A; K &lt; D1 &lt; A</x:v>
      </x:c>
      <x:c r="C21" s="42" t="n">
        <x:v>60</x:v>
      </x:c>
      <x:c r="D21" s="42" t="str">
        <x:v>Điều chỉnh sau phá giảm</x:v>
      </x:c>
      <x:c r="E21" s="42" t="str">
        <x:v>Canh mua</x:v>
      </x:c>
      <x:c r="F21" s="48" t="str">
        <x:v>4</x:v>
      </x:c>
    </x:row>
    <x:row r="22" ht="34" customHeight="1">
      <x:c r="A22" s="47" t="str">
        <x:v>A1_UPTREND</x:v>
      </x:c>
      <x:c r="B22" s="42" t="str">
        <x:v>A1 &gt; A</x:v>
      </x:c>
      <x:c r="C22" s="42" t="n">
        <x:v>100</x:v>
      </x:c>
      <x:c r="D22" s="42" t="str">
        <x:v>Xu hướng tăng hoàn chỉnh</x:v>
      </x:c>
      <x:c r="E22" s="42" t="str">
        <x:v>Canh mua</x:v>
      </x:c>
      <x:c r="F22" s="48" t="str">
        <x:v>5</x:v>
      </x:c>
    </x:row>
    <x:row r="23" ht="34" customHeight="1">
      <x:c r="A23" s="47" t="str">
        <x:v>POST_A1_ABOVE_D1</x:v>
      </x:c>
      <x:c r="B23" s="42" t="str">
        <x:v>Sau A1, giá vẫn &gt; D1; gồm D2/A2</x:v>
      </x:c>
      <x:c r="C23" s="42" t="n">
        <x:v>100</x:v>
      </x:c>
      <x:c r="D23" s="42" t="str">
        <x:v>Xu hướng tăng hoàn chỉnh</x:v>
      </x:c>
      <x:c r="E23" s="42" t="str">
        <x:v>Canh mua</x:v>
      </x:c>
      <x:c r="F23" s="48" t="str">
        <x:v>6</x:v>
      </x:c>
    </x:row>
    <x:row r="24" ht="34" customHeight="1">
      <x:c r="A24" s="49" t="str">
        <x:v>RESET</x:v>
      </x:c>
      <x:c r="B24" s="50" t="str">
        <x:v>Sau A1, giá thủng D1</x:v>
      </x:c>
      <x:c r="C24" s="50" t="str">
        <x:v>Reset</x:v>
      </x:c>
      <x:c r="D24" s="50" t="str">
        <x:v>Mất cấu trúc tăng</x:v>
      </x:c>
      <x:c r="E24" s="50" t="str">
        <x:v>Xét lại</x:v>
      </x:c>
      <x:c r="F24" s="51" t="str">
        <x:v>7</x:v>
      </x:c>
    </x:row>
    <x:row r="25" ht="34" customHeight="1"/>
    <x:row r="26" ht="38" customHeight="1">
      <x:c r="A26" s="130" t="str">
        <x:v>BỔ SUNG 01 — RESET O/K KHI ZIGZAG NHIỄU SIDEWAY QUANH MA200</x:v>
      </x:c>
      <x:c r="B26" s="130"/>
      <x:c r="C26" s="130"/>
      <x:c r="D26" s="130"/>
      <x:c r="E26" s="130"/>
      <x:c r="F26" s="130"/>
      <x:c r="G26" s="130"/>
      <x:c r="H26" s="130"/>
      <x:c r="I26" s="130"/>
    </x:row>
    <x:row r="27" ht="38" customHeight="1">
      <x:c r="A27" s="142" t="str">
        <x:v>STT</x:v>
      </x:c>
      <x:c r="B27" s="143" t="str">
        <x:v>Module/Tiêu chí</x:v>
      </x:c>
      <x:c r="C27" s="143" t="str">
        <x:v>Áp dụng cho</x:v>
      </x:c>
      <x:c r="D27" s="143" t="str">
        <x:v>Mục tiêu</x:v>
      </x:c>
      <x:c r="E27" s="143" t="str">
        <x:v>Điều kiện/Định nghĩa tự động</x:v>
      </x:c>
      <x:c r="F27" s="143" t="str">
        <x:v>Công thức/Logic cho IT</x:v>
      </x:c>
      <x:c r="G27" s="143" t="str">
        <x:v>Thang điểm</x:v>
      </x:c>
      <x:c r="H27" s="143" t="str">
        <x:v>Hướng dẫn triển khai chi tiết</x:v>
      </x:c>
      <x:c r="I27" s="144" t="str">
        <x:v>Ghi chú</x:v>
      </x:c>
    </x:row>
    <x:row r="28" ht="38" customHeight="1">
      <x:c r="A28" s="44" t="n">
        <x:v>1</x:v>
      </x:c>
      <x:c r="B28" s="45" t="str">
        <x:v>Điều kiện kích hoạt rule bổ sung</x:v>
      </x:c>
      <x:c r="C28" s="45" t="str">
        <x:v>Trend ngày</x:v>
      </x:c>
      <x:c r="D28" s="45" t="str">
        <x:v>Chỉ dùng rule reset O/K khi giá hiện tại đã trở lại phía trên MA200 ngày.</x:v>
      </x:c>
      <x:c r="E28" s="45" t="str">
        <x:v>CurrentClose &gt; DailyMA200.</x:v>
      </x:c>
      <x:c r="F28" s="45" t="str">
        <x:v>IF CurrentClose &lt;= DailyMA200: KHÔNG kích hoạt rule bổ sung này; giữ nguyên logic O/K hiện có.</x:v>
      </x:c>
      <x:c r="G28" s="45" t="str">
        <x:v>Rule xác định cấu trúc</x:v>
      </x:c>
      <x:c r="H28" s="45" t="str">
        <x:v>Kiểm tra điều kiện này trước khi đếm số đáy ZigZag dưới MA200.</x:v>
      </x:c>
      <x:c r="I28" s="46" t="str">
        <x:v>Rule này chỉ bổ sung xử lý nhiễu O/K, không thay đổi các tiêu chí chấm điểm hiện có.</x:v>
      </x:c>
    </x:row>
    <x:row r="29" ht="38" customHeight="1">
      <x:c r="A29" s="47" t="n">
        <x:v>2</x:v>
      </x:c>
      <x:c r="B29" s="145" t="str">
        <x:v>Đếm đáy ZigZag dưới MA200 trong 52W</x:v>
      </x:c>
      <x:c r="C29" s="145" t="str">
        <x:v>Trend ngày</x:v>
      </x:c>
      <x:c r="D29" s="145" t="str">
        <x:v>Nhận diện trường hợp cổ phiếu sideway quanh MA200 và ZigZag tạo nhiều đáy gây nhiễu.</x:v>
      </x:c>
      <x:c r="E29" s="145" t="str">
        <x:v>Trong 52 tuần gần nhất, đếm các ZigZag Swing Low có giá tại đáy &lt; MA200 ngày tại chính thời điểm đáy đó.</x:v>
      </x:c>
      <x:c r="F29" s="145" t="str">
        <x:v>BelowMA200Lows = {ZigZagLow_i | Date_i ∈ last 52W AND Low_i &lt; DailyMA200_i}; N = COUNT(BelowMA200Lows).</x:v>
      </x:c>
      <x:c r="G29" s="145" t="str">
        <x:v>Không cộng điểm</x:v>
      </x:c>
      <x:c r="H29" s="145" t="str">
        <x:v>Chỉ đếm Swing Low do ZigZag xác nhận; không đếm mọi nến có Low dưới MA200.</x:v>
      </x:c>
      <x:c r="I29" s="48" t="str">
        <x:v>Ngưỡng kích hoạt reset: N &gt;= 3.</x:v>
      </x:c>
    </x:row>
    <x:row r="30" ht="38" customHeight="1">
      <x:c r="A30" s="47" t="n">
        <x:v>3</x:v>
      </x:c>
      <x:c r="B30" s="145" t="str">
        <x:v>Điều kiện RESET cấu trúc O/K</x:v>
      </x:c>
      <x:c r="C30" s="145" t="str">
        <x:v>Trend ngày</x:v>
      </x:c>
      <x:c r="D30" s="145" t="str">
        <x:v>Loại bỏ nhiễu do nhiều lần xuyên MA200 trong giai đoạn sideway.</x:v>
      </x:c>
      <x:c r="E30" s="145" t="str">
        <x:v>Nếu trong 52W có từ 3 ZigZag Swing Low dưới MA200 trở lên.</x:v>
      </x:c>
      <x:c r="F30" s="145" t="str">
        <x:v>IF N &gt;= 3 THEN Reset_OK_Sideway = TRUE.</x:v>
      </x:c>
      <x:c r="G30" s="145" t="str">
        <x:v>Không cộng điểm</x:v>
      </x:c>
      <x:c r="H30" s="145" t="str">
        <x:v>Khi kích hoạt, bỏ O/K đang dùng cho chu kỳ hiện tại và xác định lại theo hai bước K mới → O mới bên dưới.</x:v>
      </x:c>
      <x:c r="I30" s="48" t="str">
        <x:v>Nếu N &lt; 3: giữ nguyên toàn bộ logic O/K hiện có.</x:v>
      </x:c>
    </x:row>
    <x:row r="31" ht="38" customHeight="1">
      <x:c r="A31" s="47" t="n">
        <x:v>4</x:v>
      </x:c>
      <x:c r="B31" s="145" t="str">
        <x:v>Xác định K sau RESET</x:v>
      </x:c>
      <x:c r="C31" s="145" t="str">
        <x:v>Trend ngày</x:v>
      </x:c>
      <x:c r="D31" s="145" t="str">
        <x:v>Chọn đáy có ý nghĩa gần nhất, tránh bị neo bởi các đáy cũ trong 52W.</x:v>
      </x:c>
      <x:c r="E31" s="145" t="str">
        <x:v>K = ZigZag Swing Low dưới MA200 có thời gian xuất hiện gần hiện tại nhất trong tập BelowMA200Lows.</x:v>
      </x:c>
      <x:c r="F31" s="145" t="str">
        <x:v>K = argmax(Date_i) với điều kiện Low_i &lt; DailyMA200_i.</x:v>
      </x:c>
      <x:c r="G31" s="145" t="str">
        <x:v>Điểm cấu trúc</x:v>
      </x:c>
      <x:c r="H31" s="145" t="str">
        <x:v>Lưu ý: chọn ĐÁY DƯỚI MA200 CUỐI CÙNG theo thời gian, KHÔNG chọn đáy có giá thấp nhất 52W.</x:v>
      </x:c>
      <x:c r="I31" s="48" t="str">
        <x:v>Sau khi chọn K mới, các đáy dưới MA200 cũ hơn không còn dùng để xác định cấu trúc hiện tại.</x:v>
      </x:c>
    </x:row>
    <x:row r="32" ht="38" customHeight="1">
      <x:c r="A32" s="47" t="n">
        <x:v>5</x:v>
      </x:c>
      <x:c r="B32" s="145" t="str">
        <x:v>Xác định O từ K mới</x:v>
      </x:c>
      <x:c r="C32" s="145" t="str">
        <x:v>Trend ngày</x:v>
      </x:c>
      <x:c r="D32" s="145" t="str">
        <x:v>Tạo lại cặp O–K đại diện cho nhịp giảm gần nhất dẫn tới K.</x:v>
      </x:c>
      <x:c r="E32" s="145" t="str">
        <x:v>O = ZigZag Swing High hợp lệ gần nhất ngay trước K, thuộc cùng nhịp giảm dẫn tới K.</x:v>
      </x:c>
      <x:c r="F32" s="145" t="str">
        <x:v>Sau khi K được chọn: duyệt ngược ZigZag và lấy Swing High hợp lệ gần nhất trước K làm O.</x:v>
      </x:c>
      <x:c r="G32" s="145" t="str">
        <x:v>Điểm cấu trúc</x:v>
      </x:c>
      <x:c r="H32" s="145" t="str">
        <x:v>Từ O/K mới, tiếp tục áp dụng nguyên các rule hiện có để xác định A, D1, A1, D2/A2.</x:v>
      </x:c>
      <x:c r="I32" s="48" t="str">
        <x:v>Không dùng các O/K cũ hơn sau khi reset.</x:v>
      </x:c>
    </x:row>
    <x:row r="33" ht="38" customHeight="1">
      <x:c r="A33" s="49" t="n">
        <x:v>6</x:v>
      </x:c>
      <x:c r="B33" s="50" t="str">
        <x:v>Khóa chu kỳ mới</x:v>
      </x:c>
      <x:c r="C33" s="50" t="str">
        <x:v>Trend ngày</x:v>
      </x:c>
      <x:c r="D33" s="50" t="str">
        <x:v>Ngăn hệ thống quay lại các đáy cũ và tiếp tục nhiễu khi giá đã hình thành cấu trúc mới.</x:v>
      </x:c>
      <x:c r="E33" s="50" t="str">
        <x:v>Sau khi O và K mới được xác định, dùng cặp này làm cấu trúc hiện hành cho đến khi các rule reset hiện có của hệ thống được kích hoạt.</x:v>
      </x:c>
      <x:c r="F33" s="50" t="str">
        <x:v>LOCK(Current_O, Current_K); IGNORE older BelowMA200Lows for current cycle.</x:v>
      </x:c>
      <x:c r="G33" s="50" t="str">
        <x:v>Không cộng điểm</x:v>
      </x:c>
      <x:c r="H33" s="50" t="str">
        <x:v>Điểm số sau đó vẫn tính đúng theo bảng Trend ngày hiện hữu; phần bổ sung này chỉ thay cách chọn O/K trong trường hợp N &gt;= 3.</x:v>
      </x:c>
      <x:c r="I33" s="51" t="str">
        <x:v>Không sửa bất kỳ thang điểm hoặc trạng thái nào của file gốc.</x:v>
      </x:c>
    </x:row>
    <x:row r="34" ht="34" customHeight="1"/>
    <x:row r="35" ht="34" customHeight="1"/>
    <x:row r="36" ht="34" customHeight="1"/>
    <x:row r="37" ht="34" customHeight="1"/>
    <x:row r="38" ht="34" customHeight="1"/>
    <x:row r="39" ht="34" customHeight="1"/>
    <x:row r="40" ht="34" customHeight="1"/>
    <x:row r="41" ht="34" customHeight="1"/>
    <x:row r="42" ht="34" customHeight="1"/>
    <x:row r="43" ht="34" customHeight="1"/>
    <x:row r="44" ht="34" customHeight="1"/>
    <x:row r="45" ht="34" customHeight="1"/>
    <x:row r="46" ht="34" customHeight="1"/>
    <x:row r="47" ht="34" customHeight="1"/>
    <x:row r="48" ht="34" customHeight="1"/>
    <x:row r="49" ht="34" customHeight="1"/>
    <x:row r="50" ht="34" customHeight="1"/>
    <x:row r="51" ht="34" customHeight="1"/>
    <x:row r="52" ht="34" customHeight="1"/>
    <x:row r="53" ht="34" customHeight="1"/>
    <x:row r="54" ht="34" customHeight="1"/>
    <x:row r="55" ht="34" customHeight="1"/>
    <x:row r="56" ht="34" customHeight="1"/>
    <x:row r="57" ht="34" customHeight="1"/>
    <x:row r="58" ht="34" customHeight="1"/>
    <x:row r="59" ht="34" customHeight="1"/>
    <x:row r="60" ht="34" customHeight="1"/>
  </x:sheetData>
  <x:mergeCells>
    <x:mergeCell ref="A1:I1"/>
    <x:mergeCell ref="A15:I15"/>
    <x:mergeCell ref="A26:I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15" hidden="0" customWidth="1"/>
    <x:col min="4" max="4" width="32" hidden="0" customWidth="1"/>
    <x:col min="5" max="5" width="45" hidden="0" customWidth="1"/>
    <x:col min="6" max="6" width="42" hidden="0" customWidth="1"/>
    <x:col min="7" max="7" width="18" hidden="0" customWidth="1"/>
    <x:col min="8" max="8" width="48" hidden="0" customWidth="1"/>
    <x:col min="9" max="9" width="34" hidden="0" customWidth="1"/>
  </x:cols>
  <x:sheetData>
    <x:row r="1" ht="34" customHeight="1">
      <x:c r="A1" s="90" t="str">
        <x:v>ĐẶC TẢ CHẤM ĐIỂM XU HƯỚNG TUẦN</x:v>
      </x:c>
      <x:c r="B1" s="90"/>
      <x:c r="C1" s="90"/>
      <x:c r="D1" s="90"/>
      <x:c r="E1" s="90"/>
      <x:c r="F1" s="90"/>
      <x:c r="G1" s="90"/>
      <x:c r="H1" s="90"/>
      <x:c r="I1" s="90"/>
    </x:row>
    <x:row r="2" ht="34" customHeight="1"/>
    <x:row r="3" ht="34" customHeight="1">
      <x:c r="A3" s="25" t="str">
        <x:v>STT</x:v>
      </x:c>
      <x:c r="B3" s="26" t="str">
        <x:v>Module/Tiêu chí</x:v>
      </x:c>
      <x:c r="C3" s="26" t="str">
        <x:v>Áp dụng cho</x:v>
      </x:c>
      <x:c r="D3" s="26" t="str">
        <x:v>Mục tiêu</x:v>
      </x:c>
      <x:c r="E3" s="26" t="str">
        <x:v>Điều kiện/Định nghĩa tự động</x:v>
      </x:c>
      <x:c r="F3" s="26" t="str">
        <x:v>Công thức/Logic cho IT</x:v>
      </x:c>
      <x:c r="G3" s="26" t="str">
        <x:v>Thang điểm</x:v>
      </x:c>
      <x:c r="H3" s="26" t="str">
        <x:v>Hướng dẫn triển khai chi tiết</x:v>
      </x:c>
      <x:c r="I3" s="27" t="str">
        <x:v>Ghi chú</x:v>
      </x:c>
    </x:row>
    <x:row r="4" ht="34" customHeight="1">
      <x:c r="A4" s="44" t="n">
        <x:v>1</x:v>
      </x:c>
      <x:c r="B4" s="103" t="str">
        <x:v>Khung dữ liệu</x:v>
      </x:c>
      <x:c r="C4" s="45" t="str">
        <x:v>Trend tuần</x:v>
      </x:c>
      <x:c r="D4" s="45" t="str">
        <x:v>Đủ dữ liệu cho 52 tuần và cấu trúc ZigZag</x:v>
      </x:c>
      <x:c r="E4" s="45" t="str">
        <x:v>Xét lịch sử 1,5 năm. Dùng ZigZag trên chart tuần. Giá dùng để xét là giá đóng cửa tuần.</x:v>
      </x:c>
      <x:c r="F4" s="45" t="str">
        <x:v>Lookback ≈ 1.5 năm; ZigZag trên Weekly OHLC.</x:v>
      </x:c>
      <x:c r="G4" s="45" t="str">
        <x:v>Pass/Fail</x:v>
      </x:c>
      <x:c r="H4" s="45" t="str">
        <x:v>MA dùng trong gate là MA200 NGÀY, không phải MA tuần.</x:v>
      </x:c>
      <x:c r="I4" s="46" t="str">
        <x:v>Giữ đúng định nghĩa đã chốt.</x:v>
      </x:c>
    </x:row>
    <x:row r="5" ht="34" customHeight="1">
      <x:c r="A5" s="115" t="n">
        <x:v>2</x:v>
      </x:c>
      <x:c r="B5" s="116" t="str">
        <x:v>HARD RULE – MA200 ngày</x:v>
      </x:c>
      <x:c r="C5" s="116" t="str">
        <x:v>Trend tuần</x:v>
      </x:c>
      <x:c r="D5" s="116" t="str">
        <x:v>Loại ngay mọi trường hợp dưới MA200 ngày</x:v>
      </x:c>
      <x:c r="E5" s="116" t="str">
        <x:v>Trong mọi trường hợp, nếu giá đóng cửa tuần &lt; MA200 ngày thì điểm Trend tuần = 0.</x:v>
      </x:c>
      <x:c r="F5" s="116" t="str">
        <x:v>IF WeeklyClose &lt; DailyMA200 THEN WeeklyTrendScore=0; STOP.</x:v>
      </x:c>
      <x:c r="G5" s="116" t="str">
        <x:v>0 tuyệt đối</x:v>
      </x:c>
      <x:c r="H5" s="116" t="str">
        <x:v>Đặt rule này ở đầu pipeline trước tất cả cấu trúc O–K–A...</x:v>
      </x:c>
      <x:c r="I5" s="117" t="str">
        <x:v>KHÔNG NGOẠI LỆ.</x:v>
      </x:c>
    </x:row>
    <x:row r="6" ht="34" customHeight="1">
      <x:c r="A6" s="47" t="n">
        <x:v>3</x:v>
      </x:c>
      <x:c r="B6" s="104" t="str">
        <x:v>Điều kiện O–K</x:v>
      </x:c>
      <x:c r="C6" s="42" t="str">
        <x:v>Trend tuần</x:v>
      </x:c>
      <x:c r="D6" s="42" t="str">
        <x:v>Chỉ bắt đầu cấu trúc khi có O và K</x:v>
      </x:c>
      <x:c r="E6" s="42" t="str">
        <x:v>O = đỉnh cuối cùng sau khi kết thúc xu hướng giảm. K = đáy thấp nhất cuối cùng của xu hướng giảm.</x:v>
      </x:c>
      <x:c r="F6" s="42" t="str">
        <x:v>Nếu chưa có đồng thời O và K → WeeklyTrendScore = 0.</x:v>
      </x:c>
      <x:c r="G6" s="42" t="str">
        <x:v>0</x:v>
      </x:c>
      <x:c r="H6" s="42" t="str">
        <x:v>Chỉ đi tiếp nếu đã vượt Hard Rule và có O–K.</x:v>
      </x:c>
      <x:c r="I6" s="48" t="str">
        <x:v>Gate cấu trúc.</x:v>
      </x:c>
    </x:row>
    <x:row r="7" ht="34" customHeight="1">
      <x:c r="A7" s="47" t="n">
        <x:v>4</x:v>
      </x:c>
      <x:c r="B7" s="104" t="str">
        <x:v>TC1 – Khoảng cách đỉnh 52W</x:v>
      </x:c>
      <x:c r="C7" s="42" t="str">
        <x:v>Trend tuần</x:v>
      </x:c>
      <x:c r="D7" s="42" t="str">
        <x:v>Đảm bảo giá không quá xa đỉnh 52 tuần</x:v>
      </x:c>
      <x:c r="E7" s="42" t="str">
        <x:v>Giá đóng tuần cách đỉnh 52W không quá -25%.</x:v>
      </x:c>
      <x:c r="F7" s="42" t="str">
        <x:v>Dist52W = WeeklyClose/High52W - 1; đạt khi &gt;= -25%.</x:v>
      </x:c>
      <x:c r="G7" s="42" t="str">
        <x:v>+15</x:v>
      </x:c>
      <x:c r="H7" s="42" t="str">
        <x:v>Nếu không đạt nhưng đã có O–K và giá vẫn trên MA200 ngày, chỉ còn điểm từ TC2 = 15.</x:v>
      </x:c>
      <x:c r="I7" s="48" t="str">
        <x:v>Nếu chưa có O–K thì 0.</x:v>
      </x:c>
    </x:row>
    <x:row r="8" ht="34" customHeight="1">
      <x:c r="A8" s="47" t="n">
        <x:v>5</x:v>
      </x:c>
      <x:c r="B8" s="104" t="str">
        <x:v>TC2 – MA200 ngày</x:v>
      </x:c>
      <x:c r="C8" s="42" t="str">
        <x:v>Trend tuần</x:v>
      </x:c>
      <x:c r="D8" s="42" t="str">
        <x:v>Điều kiện bắt buộc để được chấm</x:v>
      </x:c>
      <x:c r="E8" s="42" t="str">
        <x:v>Giá đóng tuần &gt; MA200 ngày.</x:v>
      </x:c>
      <x:c r="F8" s="42" t="str">
        <x:v>Pass nếu WeeklyClose &gt; DailyMA200.</x:v>
      </x:c>
      <x:c r="G8" s="42" t="str">
        <x:v>+15</x:v>
      </x:c>
      <x:c r="H8" s="42" t="str">
        <x:v>Hard rule đã xử lý trường hợp fail = 0.</x:v>
      </x:c>
      <x:c r="I8" s="48" t="str">
        <x:v>TC2 vừa là điểm vừa là gate tuyệt đối.</x:v>
      </x:c>
    </x:row>
    <x:row r="9" ht="34" customHeight="1">
      <x:c r="A9" s="47" t="n">
        <x:v>6</x:v>
      </x:c>
      <x:c r="B9" s="104" t="str">
        <x:v>TC3 – Điểm A</x:v>
      </x:c>
      <x:c r="C9" s="42" t="str">
        <x:v>Trend tuần</x:v>
      </x:c>
      <x:c r="D9" s="42" t="str">
        <x:v>Xác nhận xu hướng giảm bị phá</x:v>
      </x:c>
      <x:c r="E9" s="42" t="str">
        <x:v>A = tuần đóng cửa vượt O. Điều kiện: Close_A &gt; Close_O.</x:v>
      </x:c>
      <x:c r="F9" s="42" t="str">
        <x:v>Nếu WeeklyClose &gt; O và xác nhận A → +40.</x:v>
      </x:c>
      <x:c r="G9" s="42" t="str">
        <x:v>+40</x:v>
      </x:c>
      <x:c r="H9" s="42" t="str">
        <x:v>Nếu TC1 + TC2 đều đạt, tại A = 70 điểm.</x:v>
      </x:c>
      <x:c r="I9" s="48" t="str">
        <x:v>Nếu sau đó giá đóng tuần &lt; O → bỏ TC3 và quay về chỉ TC1+TC2.</x:v>
      </x:c>
    </x:row>
    <x:row r="10" ht="34" customHeight="1">
      <x:c r="A10" s="47" t="n">
        <x:v>7</x:v>
      </x:c>
      <x:c r="B10" s="104" t="str">
        <x:v>Xác định A1</x:v>
      </x:c>
      <x:c r="C10" s="42" t="str">
        <x:v>Trend tuần</x:v>
      </x:c>
      <x:c r="D10" s="42" t="str">
        <x:v>Tạo mốc đỉnh ngắn hạn sau khi vượt O</x:v>
      </x:c>
      <x:c r="E10" s="42" t="str">
        <x:v>A1 = đỉnh ngắn hạn hình thành sau khi xu hướng tuần đã vượt O.</x:v>
      </x:c>
      <x:c r="F10" s="42" t="str">
        <x:v>Lưu swing high A1 sau A.</x:v>
      </x:c>
      <x:c r="G10" s="42" t="str">
        <x:v>Mốc cấu trúc</x:v>
      </x:c>
      <x:c r="H10" s="42" t="str">
        <x:v>A1 dùng làm trần của D1 và ngưỡng để xác nhận A2.</x:v>
      </x:c>
      <x:c r="I10" s="48" t="str">
        <x:v>Không cộng điểm riêng.</x:v>
      </x:c>
    </x:row>
    <x:row r="11" ht="34" customHeight="1">
      <x:c r="A11" s="47" t="n">
        <x:v>8</x:v>
      </x:c>
      <x:c r="B11" s="104" t="str">
        <x:v>TC4 – D1</x:v>
      </x:c>
      <x:c r="C11" s="42" t="str">
        <x:v>Trend tuần</x:v>
      </x:c>
      <x:c r="D11" s="42" t="str">
        <x:v>Xác nhận vùng tích lũy/điều chỉnh lành mạnh sau A</x:v>
      </x:c>
      <x:c r="E11" s="42" t="str">
        <x:v>D1 hợp lệ khi O &lt; D1 &lt; A1.</x:v>
      </x:c>
      <x:c r="F11" s="42" t="str">
        <x:v>Nếu O &lt; D1 &lt; A1 → +10.</x:v>
      </x:c>
      <x:c r="G11" s="42" t="str">
        <x:v>+10</x:v>
      </x:c>
      <x:c r="H11" s="42" t="str">
        <x:v>Nếu TC1+TC2+TC3 đã đạt, D1 = 80 điểm. Vùng này là canh mua nếu giá đóng vẫn trên MA200 ngày.</x:v>
      </x:c>
      <x:c r="I11" s="48" t="str">
        <x:v>Nếu D1 &lt; O → quay lại chỉ TC1+TC2.</x:v>
      </x:c>
    </x:row>
    <x:row r="12" ht="34" customHeight="1">
      <x:c r="A12" s="47" t="n">
        <x:v>9</x:v>
      </x:c>
      <x:c r="B12" s="104" t="str">
        <x:v>TC5 – A2</x:v>
      </x:c>
      <x:c r="C12" s="42" t="str">
        <x:v>Trend tuần</x:v>
      </x:c>
      <x:c r="D12" s="42" t="str">
        <x:v>Xác nhận xu hướng tuần tăng hoàn chỉnh</x:v>
      </x:c>
      <x:c r="E12" s="42" t="str">
        <x:v>A2 xuất hiện khi giá đóng tuần vượt A1.</x:v>
      </x:c>
      <x:c r="F12" s="42" t="str">
        <x:v>Nếu Close_A2 &gt; A1 → +20.</x:v>
      </x:c>
      <x:c r="G12" s="42" t="str">
        <x:v>+20</x:v>
      </x:c>
      <x:c r="H12" s="42" t="str">
        <x:v>Tổng 15+15+40+10+20 = 100.</x:v>
      </x:c>
      <x:c r="I12" s="48" t="str">
        <x:v>A2 &gt; A1 = full uptrend.</x:v>
      </x:c>
    </x:row>
    <x:row r="13" ht="34" customHeight="1">
      <x:c r="A13" s="47" t="n">
        <x:v>10</x:v>
      </x:c>
      <x:c r="B13" s="104" t="str">
        <x:v>D2 trên A1</x:v>
      </x:c>
      <x:c r="C13" s="42" t="str">
        <x:v>Trend tuần</x:v>
      </x:c>
      <x:c r="D13" s="42" t="str">
        <x:v>Duy trì điểm tối đa trong nhịp điều chỉnh nông</x:v>
      </x:c>
      <x:c r="E13" s="42" t="str">
        <x:v>Sau khi đã đạt 100, nếu D2 vẫn &gt; A1 thì xu hướng tuần vẫn hoàn chỉnh.</x:v>
      </x:c>
      <x:c r="F13" s="42" t="str">
        <x:v>IF state=FULL_UPTREND AND D2&gt;A1 THEN score=100.</x:v>
      </x:c>
      <x:c r="G13" s="42" t="str">
        <x:v>100</x:v>
      </x:c>
      <x:c r="H13" s="42" t="str">
        <x:v>Không cần chấm lại từ đầu.</x:v>
      </x:c>
      <x:c r="I13" s="48" t="str">
        <x:v>Vùng mua tiềm năng.</x:v>
      </x:c>
    </x:row>
    <x:row r="14" ht="34" customHeight="1">
      <x:c r="A14" s="47" t="n">
        <x:v>11</x:v>
      </x:c>
      <x:c r="B14" s="104" t="str">
        <x:v>D2 dưới A1 nhưng trên D1</x:v>
      </x:c>
      <x:c r="C14" s="42" t="str">
        <x:v>Trend tuần</x:v>
      </x:c>
      <x:c r="D14" s="42" t="str">
        <x:v>Hạ trạng thái khi điều chỉnh sâu hơn nhưng chưa phá D1</x:v>
      </x:c>
      <x:c r="E14" s="42" t="str">
        <x:v>Nếu D1 &lt; D2 &lt; A1 thì không tính TC5; chỉ giữ TC4.</x:v>
      </x:c>
      <x:c r="F14" s="42" t="str">
        <x:v>Score = TC1+TC2+TC3+TC4 = 80 (khi các TC đó vẫn đạt).</x:v>
      </x:c>
      <x:c r="G14" s="42" t="str">
        <x:v>80</x:v>
      </x:c>
      <x:c r="H14" s="42" t="str">
        <x:v>Đây là vùng canh mua theo cấu trúc đã nêu.</x:v>
      </x:c>
      <x:c r="I14" s="48" t="str">
        <x:v>Không còn 20 điểm TC5.</x:v>
      </x:c>
    </x:row>
    <x:row r="15" ht="34" customHeight="1">
      <x:c r="A15" s="47" t="n">
        <x:v>12</x:v>
      </x:c>
      <x:c r="B15" s="104" t="str">
        <x:v>Thủng D1</x:v>
      </x:c>
      <x:c r="C15" s="42" t="str">
        <x:v>Trend tuần</x:v>
      </x:c>
      <x:c r="D15" s="42" t="str">
        <x:v>Mất cấu trúc tăng hoàn chỉnh</x:v>
      </x:c>
      <x:c r="E15" s="42" t="str">
        <x:v>Nếu giá đóng tuần &lt; D1 thì chỉ quay về xét TC1 và TC2.</x:v>
      </x:c>
      <x:c r="F15" s="42" t="str">
        <x:v>Score = TC1 + TC2; nếu đồng thời WeeklyClose&lt;DailyMA200 → Hard Rule = 0.</x:v>
      </x:c>
      <x:c r="G15" s="42" t="str">
        <x:v>0–30</x:v>
      </x:c>
      <x:c r="H15" s="42" t="str">
        <x:v>Bỏ TC3, TC4, TC5 của cấu trúc cũ.</x:v>
      </x:c>
      <x:c r="I15" s="48" t="str">
        <x:v>Sau đó chờ cấu trúc mới.</x:v>
      </x:c>
    </x:row>
    <x:row r="16" ht="34" customHeight="1">
      <x:c r="A16" s="49" t="n">
        <x:v>13</x:v>
      </x:c>
      <x:c r="B16" s="105" t="str">
        <x:v>Quay lại dưới O</x:v>
      </x:c>
      <x:c r="C16" s="50" t="str">
        <x:v>Trend tuần</x:v>
      </x:c>
      <x:c r="D16" s="50" t="str">
        <x:v>Hủy tín hiệu phá xu hướng giảm thất bại</x:v>
      </x:c>
      <x:c r="E16" s="50" t="str">
        <x:v>Nếu đã có tuần đóng trên O nhưng sau đó giá đóng tuần quay lại thấp hơn O.</x:v>
      </x:c>
      <x:c r="F16" s="50" t="str">
        <x:v>Bỏ TC3–TC5; quay về TC1+TC2; Hard Rule MA200 vẫn ưu tiên.</x:v>
      </x:c>
      <x:c r="G16" s="50" t="str">
        <x:v>0–30</x:v>
      </x:c>
      <x:c r="H16" s="50" t="str">
        <x:v>Không giữ điểm 70/80/100 của cấu trúc đã thất bại.</x:v>
      </x:c>
      <x:c r="I16" s="51" t="str">
        <x:v>Reset phần cấu trúc, không reset 2 điều kiện nền nếu còn đạt.</x:v>
      </x:c>
    </x:row>
    <x:row r="17" ht="34" customHeight="1"/>
    <x:row r="18" ht="34" customHeight="1">
      <x:c r="A18" s="62" t="str">
        <x:v>BẢNG TRẠNG THÁI / ĐIỂM ƯU TIÊN — TREND TUẦN</x:v>
      </x:c>
      <x:c r="B18" s="62"/>
      <x:c r="C18" s="62"/>
      <x:c r="D18" s="62"/>
      <x:c r="E18" s="62"/>
      <x:c r="F18" s="62"/>
      <x:c r="G18" s="62"/>
      <x:c r="H18" s="62"/>
      <x:c r="I18" s="62"/>
    </x:row>
    <x:row r="19" ht="34" customHeight="1">
      <x:c r="A19" s="25" t="str">
        <x:v>State</x:v>
      </x:c>
      <x:c r="B19" s="26" t="str">
        <x:v>Điều kiện</x:v>
      </x:c>
      <x:c r="C19" s="26" t="str">
        <x:v>Điểm tuần</x:v>
      </x:c>
      <x:c r="D19" s="26" t="str">
        <x:v>Trạng thái gợi ý</x:v>
      </x:c>
      <x:c r="E19" s="26" t="str">
        <x:v>Hành động gợi ý</x:v>
      </x:c>
      <x:c r="F19" s="27" t="str">
        <x:v>Ưu tiên logic</x:v>
      </x:c>
    </x:row>
    <x:row r="20" ht="34" customHeight="1">
      <x:c r="A20" s="44" t="str">
        <x:v>BELOW_MA200</x:v>
      </x:c>
      <x:c r="B20" s="45" t="str">
        <x:v>Weekly Close &lt; MA200 ngày</x:v>
      </x:c>
      <x:c r="C20" s="45" t="n">
        <x:v>0</x:v>
      </x:c>
      <x:c r="D20" s="45" t="str">
        <x:v>Không đạt xu hướng</x:v>
      </x:c>
      <x:c r="E20" s="45" t="str">
        <x:v>Không mua</x:v>
      </x:c>
      <x:c r="F20" s="46" t="str">
        <x:v>1 – Hard rule</x:v>
      </x:c>
    </x:row>
    <x:row r="21" ht="34" customHeight="1">
      <x:c r="A21" s="47" t="str">
        <x:v>NO_OK</x:v>
      </x:c>
      <x:c r="B21" s="42" t="str">
        <x:v>Trên MA200 nhưng chưa có đồng thời O–K</x:v>
      </x:c>
      <x:c r="C21" s="42" t="n">
        <x:v>0</x:v>
      </x:c>
      <x:c r="D21" s="42" t="str">
        <x:v>Chưa có cấu trúc</x:v>
      </x:c>
      <x:c r="E21" s="42" t="str">
        <x:v>Theo dõi</x:v>
      </x:c>
      <x:c r="F21" s="48" t="str">
        <x:v>2</x:v>
      </x:c>
    </x:row>
    <x:row r="22" ht="34" customHeight="1">
      <x:c r="A22" s="47" t="str">
        <x:v>BASE_ONLY</x:v>
      </x:c>
      <x:c r="B22" s="42" t="str">
        <x:v>Có O–K, chưa vượt O</x:v>
      </x:c>
      <x:c r="C22" s="42" t="str">
        <x:v>TC1+TC2 = 15–30</x:v>
      </x:c>
      <x:c r="D22" s="42" t="str">
        <x:v>Chuẩn bị cấu trúc</x:v>
      </x:c>
      <x:c r="E22" s="42" t="str">
        <x:v>Theo dõi</x:v>
      </x:c>
      <x:c r="F22" s="48" t="str">
        <x:v>3</x:v>
      </x:c>
    </x:row>
    <x:row r="23" ht="34" customHeight="1">
      <x:c r="A23" s="47" t="str">
        <x:v>A_CONFIRMED</x:v>
      </x:c>
      <x:c r="B23" s="42" t="str">
        <x:v>A &gt; O</x:v>
      </x:c>
      <x:c r="C23" s="42" t="n">
        <x:v>70</x:v>
      </x:c>
      <x:c r="D23" s="42" t="str">
        <x:v>Phá xu hướng giảm</x:v>
      </x:c>
      <x:c r="E23" s="42" t="str">
        <x:v>Canh mua</x:v>
      </x:c>
      <x:c r="F23" s="48" t="str">
        <x:v>4</x:v>
      </x:c>
    </x:row>
    <x:row r="24" ht="34" customHeight="1">
      <x:c r="A24" s="47" t="str">
        <x:v>D1</x:v>
      </x:c>
      <x:c r="B24" s="42" t="str">
        <x:v>O &lt; D1 &lt; A1</x:v>
      </x:c>
      <x:c r="C24" s="42" t="n">
        <x:v>80</x:v>
      </x:c>
      <x:c r="D24" s="42" t="str">
        <x:v>Tích lũy sau phá giảm</x:v>
      </x:c>
      <x:c r="E24" s="42" t="str">
        <x:v>Canh mua</x:v>
      </x:c>
      <x:c r="F24" s="48" t="str">
        <x:v>5</x:v>
      </x:c>
    </x:row>
    <x:row r="25" ht="34" customHeight="1">
      <x:c r="A25" s="47" t="str">
        <x:v>A2_FULL_UPTREND</x:v>
      </x:c>
      <x:c r="B25" s="42" t="str">
        <x:v>A2 &gt; A1</x:v>
      </x:c>
      <x:c r="C25" s="42" t="n">
        <x:v>100</x:v>
      </x:c>
      <x:c r="D25" s="42" t="str">
        <x:v>Xu hướng tăng hoàn chỉnh</x:v>
      </x:c>
      <x:c r="E25" s="42" t="str">
        <x:v>Canh mua</x:v>
      </x:c>
      <x:c r="F25" s="48" t="str">
        <x:v>6</x:v>
      </x:c>
    </x:row>
    <x:row r="26" ht="34" customHeight="1">
      <x:c r="A26" s="47" t="str">
        <x:v>D2_ABOVE_A1</x:v>
      </x:c>
      <x:c r="B26" s="42" t="str">
        <x:v>Đã 100; D2 &gt; A1</x:v>
      </x:c>
      <x:c r="C26" s="42" t="n">
        <x:v>100</x:v>
      </x:c>
      <x:c r="D26" s="42" t="str">
        <x:v>Xu hướng tăng hoàn chỉnh</x:v>
      </x:c>
      <x:c r="E26" s="42" t="str">
        <x:v>Canh mua</x:v>
      </x:c>
      <x:c r="F26" s="48" t="str">
        <x:v>7</x:v>
      </x:c>
    </x:row>
    <x:row r="27" ht="34" customHeight="1">
      <x:c r="A27" s="47" t="str">
        <x:v>D2_BETWEEN</x:v>
      </x:c>
      <x:c r="B27" s="42" t="str">
        <x:v>D1 &lt; D2 &lt; A1</x:v>
      </x:c>
      <x:c r="C27" s="42" t="n">
        <x:v>80</x:v>
      </x:c>
      <x:c r="D27" s="42" t="str">
        <x:v>Điều chỉnh trong xu hướng</x:v>
      </x:c>
      <x:c r="E27" s="42" t="str">
        <x:v>Canh mua</x:v>
      </x:c>
      <x:c r="F27" s="48" t="str">
        <x:v>8</x:v>
      </x:c>
    </x:row>
    <x:row r="28" ht="34" customHeight="1">
      <x:c r="A28" s="47" t="str">
        <x:v>BREAK_D1</x:v>
      </x:c>
      <x:c r="B28" s="42" t="str">
        <x:v>Close &lt; D1</x:v>
      </x:c>
      <x:c r="C28" s="42" t="str">
        <x:v>TC1+TC2 = 0–30</x:v>
      </x:c>
      <x:c r="D28" s="42" t="str">
        <x:v>Mất cấu trúc tăng</x:v>
      </x:c>
      <x:c r="E28" s="42" t="str">
        <x:v>Xét lại</x:v>
      </x:c>
      <x:c r="F28" s="48" t="str">
        <x:v>9</x:v>
      </x:c>
    </x:row>
    <x:row r="29" ht="34" customHeight="1">
      <x:c r="A29" s="49" t="str">
        <x:v>BACK_BELOW_O</x:v>
      </x:c>
      <x:c r="B29" s="50" t="str">
        <x:v>Sau A, Close &lt; O</x:v>
      </x:c>
      <x:c r="C29" s="50" t="str">
        <x:v>TC1+TC2 = 0–30</x:v>
      </x:c>
      <x:c r="D29" s="50" t="str">
        <x:v>Phá O thất bại</x:v>
      </x:c>
      <x:c r="E29" s="50" t="str">
        <x:v>Xét lại</x:v>
      </x:c>
      <x:c r="F29" s="51" t="str">
        <x:v>10</x:v>
      </x:c>
    </x:row>
    <x:row r="30" ht="34" customHeight="1"/>
    <x:row r="31" ht="34" customHeight="1"/>
    <x:row r="32" ht="34" customHeight="1"/>
    <x:row r="33" ht="34" customHeight="1"/>
    <x:row r="34" ht="34" customHeight="1"/>
    <x:row r="35" ht="34" customHeight="1"/>
    <x:row r="36" ht="34" customHeight="1"/>
    <x:row r="37" ht="34" customHeight="1"/>
    <x:row r="38" ht="34" customHeight="1"/>
    <x:row r="39" ht="34" customHeight="1"/>
    <x:row r="40" ht="34" customHeight="1"/>
    <x:row r="41" ht="34" customHeight="1"/>
    <x:row r="42" ht="34" customHeight="1"/>
    <x:row r="43" ht="34" customHeight="1"/>
    <x:row r="44" ht="34" customHeight="1"/>
    <x:row r="45" ht="34" customHeight="1"/>
    <x:row r="46" ht="34" customHeight="1"/>
    <x:row r="47" ht="34" customHeight="1"/>
    <x:row r="48" ht="34" customHeight="1"/>
    <x:row r="49" ht="34" customHeight="1"/>
    <x:row r="50" ht="34" customHeight="1"/>
    <x:row r="51" ht="34" customHeight="1"/>
    <x:row r="52" ht="34" customHeight="1"/>
    <x:row r="53" ht="34" customHeight="1"/>
    <x:row r="54" ht="34" customHeight="1"/>
    <x:row r="55" ht="34" customHeight="1"/>
    <x:row r="56" ht="34" customHeight="1"/>
    <x:row r="57" ht="34" customHeight="1"/>
    <x:row r="58" ht="34" customHeight="1"/>
    <x:row r="59" ht="34" customHeight="1"/>
    <x:row r="60" ht="34" customHeight="1"/>
  </x:sheetData>
  <x:mergeCells>
    <x:mergeCell ref="A1:I1"/>
    <x:mergeCell ref="A18:I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8" hidden="0" customWidth="1"/>
    <x:col min="3" max="3" width="42" hidden="0" customWidth="1"/>
    <x:col min="4" max="4" width="24" hidden="0" customWidth="1"/>
    <x:col min="5" max="5" width="18" hidden="0" customWidth="1"/>
    <x:col min="6" max="6" width="26" hidden="0" customWidth="1"/>
    <x:col min="7" max="7" width="28" hidden="0" customWidth="1"/>
    <x:col min="8" max="8" width="38" hidden="0" customWidth="1"/>
  </x:cols>
  <x:sheetData>
    <x:row r="1" ht="34" customHeight="1">
      <x:c r="A1" s="90" t="str">
        <x:v>STATE MACHINE / PSEUDOCODE BÀN GIAO IT</x:v>
      </x:c>
      <x:c r="B1" s="90"/>
      <x:c r="C1" s="90"/>
      <x:c r="D1" s="90"/>
      <x:c r="E1" s="90"/>
      <x:c r="F1" s="90"/>
      <x:c r="G1" s="90"/>
      <x:c r="H1" s="90"/>
    </x:row>
    <x:row r="2" ht="34" customHeight="1"/>
    <x:row r="3" ht="34" customHeight="1">
      <x:c r="A3" s="25" t="str">
        <x:v>Module</x:v>
      </x:c>
      <x:c r="B3" s="26" t="str">
        <x:v>Bước</x:v>
      </x:c>
      <x:c r="C3" s="26" t="str">
        <x:v>Điều kiện kiểm tra</x:v>
      </x:c>
      <x:c r="D3" s="26" t="str">
        <x:v>State đầu ra</x:v>
      </x:c>
      <x:c r="E3" s="26" t="str">
        <x:v>Điểm</x:v>
      </x:c>
      <x:c r="F3" s="26" t="str">
        <x:v>Reset khi</x:v>
      </x:c>
      <x:c r="G3" s="26" t="str">
        <x:v>Biến cần lưu</x:v>
      </x:c>
      <x:c r="H3" s="27" t="str">
        <x:v>Ghi chú</x:v>
      </x:c>
    </x:row>
    <x:row r="4" ht="34" customHeight="1">
      <x:c r="A4" s="44" t="str">
        <x:v>Ngày</x:v>
      </x:c>
      <x:c r="B4" s="45" t="n">
        <x:v>1</x:v>
      </x:c>
      <x:c r="C4" s="45" t="str">
        <x:v>Chưa có O hoặc K</x:v>
      </x:c>
      <x:c r="D4" s="45" t="str">
        <x:v>NO_OK</x:v>
      </x:c>
      <x:c r="E4" s="45" t="n">
        <x:v>0</x:v>
      </x:c>
      <x:c r="F4" s="45" t="str">
        <x:v>—</x:v>
      </x:c>
      <x:c r="G4" s="45" t="str">
        <x:v>O,K</x:v>
      </x:c>
      <x:c r="H4" s="46" t="str">
        <x:v>Dừng.</x:v>
      </x:c>
    </x:row>
    <x:row r="5" ht="34" customHeight="1">
      <x:c r="A5" s="47" t="str">
        <x:v>Ngày</x:v>
      </x:c>
      <x:c r="B5" s="42" t="n">
        <x:v>2</x:v>
      </x:c>
      <x:c r="C5" s="42" t="str">
        <x:v>Có O–K; kiểm tra Dist52W và MA200</x:v>
      </x:c>
      <x:c r="D5" s="42" t="str">
        <x:v>BASE</x:v>
      </x:c>
      <x:c r="E5" s="42" t="str">
        <x:v>0–30</x:v>
      </x:c>
      <x:c r="F5" s="42" t="str">
        <x:v>—</x:v>
      </x:c>
      <x:c r="G5" s="42" t="str">
        <x:v>High52W,MA200</x:v>
      </x:c>
      <x:c r="H5" s="48" t="str">
        <x:v>Theo quy tắc đặc biệt: fail từng điều kiện có thể còn 15 khi đã có O–K.</x:v>
      </x:c>
    </x:row>
    <x:row r="6" ht="34" customHeight="1">
      <x:c r="A6" s="47" t="str">
        <x:v>Ngày</x:v>
      </x:c>
      <x:c r="B6" s="42" t="n">
        <x:v>3</x:v>
      </x:c>
      <x:c r="C6" s="42" t="str">
        <x:v>Close &gt; O</x:v>
      </x:c>
      <x:c r="D6" s="42" t="str">
        <x:v>A_CONFIRMED</x:v>
      </x:c>
      <x:c r="E6" s="42" t="n">
        <x:v>60</x:v>
      </x:c>
      <x:c r="F6" s="42" t="str">
        <x:v>—</x:v>
      </x:c>
      <x:c r="G6" s="42" t="str">
        <x:v>A,O</x:v>
      </x:c>
      <x:c r="H6" s="48" t="str">
        <x:v>Nếu TC1+TC2 đạt.</x:v>
      </x:c>
    </x:row>
    <x:row r="7" ht="34" customHeight="1">
      <x:c r="A7" s="47" t="str">
        <x:v>Ngày</x:v>
      </x:c>
      <x:c r="B7" s="42" t="n">
        <x:v>4</x:v>
      </x:c>
      <x:c r="C7" s="42" t="str">
        <x:v>K &lt; D1 &lt; A</x:v>
      </x:c>
      <x:c r="D7" s="42" t="str">
        <x:v>D1</x:v>
      </x:c>
      <x:c r="E7" s="42" t="n">
        <x:v>60</x:v>
      </x:c>
      <x:c r="F7" s="42" t="str">
        <x:v>—</x:v>
      </x:c>
      <x:c r="G7" s="42" t="str">
        <x:v>D1</x:v>
      </x:c>
      <x:c r="H7" s="48" t="str">
        <x:v>Giữ 60 theo state rule, không cộng cơ học thành 70.</x:v>
      </x:c>
    </x:row>
    <x:row r="8" ht="34" customHeight="1">
      <x:c r="A8" s="47" t="str">
        <x:v>Ngày</x:v>
      </x:c>
      <x:c r="B8" s="42" t="n">
        <x:v>5</x:v>
      </x:c>
      <x:c r="C8" s="42" t="str">
        <x:v>Close &gt; A sau D1</x:v>
      </x:c>
      <x:c r="D8" s="42" t="str">
        <x:v>A1_UPTREND</x:v>
      </x:c>
      <x:c r="E8" s="42" t="n">
        <x:v>100</x:v>
      </x:c>
      <x:c r="F8" s="42" t="str">
        <x:v>Close &lt; D1</x:v>
      </x:c>
      <x:c r="G8" s="42" t="str">
        <x:v>A1</x:v>
      </x:c>
      <x:c r="H8" s="48" t="str">
        <x:v>Xác nhận xu hướng tăng hoàn chỉnh.</x:v>
      </x:c>
    </x:row>
    <x:row r="9" ht="34" customHeight="1">
      <x:c r="A9" s="47" t="str">
        <x:v>Ngày</x:v>
      </x:c>
      <x:c r="B9" s="42" t="n">
        <x:v>6</x:v>
      </x:c>
      <x:c r="C9" s="42" t="str">
        <x:v>Sau A1, Close &gt; D1</x:v>
      </x:c>
      <x:c r="D9" s="42" t="str">
        <x:v>POST_A1</x:v>
      </x:c>
      <x:c r="E9" s="42" t="n">
        <x:v>100</x:v>
      </x:c>
      <x:c r="F9" s="42" t="str">
        <x:v>Close &lt; D1</x:v>
      </x:c>
      <x:c r="G9" s="42" t="str">
        <x:v>D2,A2</x:v>
      </x:c>
      <x:c r="H9" s="48" t="str">
        <x:v>Bao gồm D2/A2.</x:v>
      </x:c>
    </x:row>
    <x:row r="10" ht="34" customHeight="1">
      <x:c r="A10" s="47" t="str">
        <x:v>Tuần</x:v>
      </x:c>
      <x:c r="B10" s="42" t="n">
        <x:v>1</x:v>
      </x:c>
      <x:c r="C10" s="42" t="str">
        <x:v>WeeklyClose &lt; DailyMA200</x:v>
      </x:c>
      <x:c r="D10" s="42" t="str">
        <x:v>BELOW_MA200</x:v>
      </x:c>
      <x:c r="E10" s="42" t="n">
        <x:v>0</x:v>
      </x:c>
      <x:c r="F10" s="42" t="str">
        <x:v>—</x:v>
      </x:c>
      <x:c r="G10" s="42" t="str">
        <x:v>WeeklyClose,DailyMA200</x:v>
      </x:c>
      <x:c r="H10" s="48" t="str">
        <x:v>Hard rule tuyệt đối; STOP.</x:v>
      </x:c>
    </x:row>
    <x:row r="11" ht="34" customHeight="1">
      <x:c r="A11" s="47" t="str">
        <x:v>Tuần</x:v>
      </x:c>
      <x:c r="B11" s="42" t="n">
        <x:v>2</x:v>
      </x:c>
      <x:c r="C11" s="42" t="str">
        <x:v>Trên MA200 nhưng chưa có O–K</x:v>
      </x:c>
      <x:c r="D11" s="42" t="str">
        <x:v>NO_OK</x:v>
      </x:c>
      <x:c r="E11" s="42" t="n">
        <x:v>0</x:v>
      </x:c>
      <x:c r="F11" s="42" t="str">
        <x:v>—</x:v>
      </x:c>
      <x:c r="G11" s="42" t="str">
        <x:v>O,K</x:v>
      </x:c>
      <x:c r="H11" s="48" t="str">
        <x:v>Dừng.</x:v>
      </x:c>
    </x:row>
    <x:row r="12" ht="34" customHeight="1">
      <x:c r="A12" s="47" t="str">
        <x:v>Tuần</x:v>
      </x:c>
      <x:c r="B12" s="42" t="n">
        <x:v>3</x:v>
      </x:c>
      <x:c r="C12" s="42" t="str">
        <x:v>Có O–K; chưa vượt O</x:v>
      </x:c>
      <x:c r="D12" s="42" t="str">
        <x:v>BASE_ONLY</x:v>
      </x:c>
      <x:c r="E12" s="42" t="str">
        <x:v>TC1+TC2</x:v>
      </x:c>
      <x:c r="F12" s="42" t="str">
        <x:v>—</x:v>
      </x:c>
      <x:c r="G12" s="42" t="str">
        <x:v>High52W,O</x:v>
      </x:c>
      <x:c r="H12" s="48" t="str">
        <x:v>0–30.</x:v>
      </x:c>
    </x:row>
    <x:row r="13" ht="34" customHeight="1">
      <x:c r="A13" s="47" t="str">
        <x:v>Tuần</x:v>
      </x:c>
      <x:c r="B13" s="42" t="n">
        <x:v>4</x:v>
      </x:c>
      <x:c r="C13" s="42" t="str">
        <x:v>WeeklyClose &gt; O</x:v>
      </x:c>
      <x:c r="D13" s="42" t="str">
        <x:v>A_CONFIRMED</x:v>
      </x:c>
      <x:c r="E13" s="42" t="n">
        <x:v>70</x:v>
      </x:c>
      <x:c r="F13" s="42" t="str">
        <x:v>Close &lt; O</x:v>
      </x:c>
      <x:c r="G13" s="42" t="str">
        <x:v>A,O</x:v>
      </x:c>
      <x:c r="H13" s="48" t="str">
        <x:v>Khi TC1+TC2 đạt.</x:v>
      </x:c>
    </x:row>
    <x:row r="14" ht="34" customHeight="1">
      <x:c r="A14" s="47" t="str">
        <x:v>Tuần</x:v>
      </x:c>
      <x:c r="B14" s="42" t="n">
        <x:v>5</x:v>
      </x:c>
      <x:c r="C14" s="42" t="str">
        <x:v>Hình thành A1 rồi O &lt; D1 &lt; A1</x:v>
      </x:c>
      <x:c r="D14" s="42" t="str">
        <x:v>D1</x:v>
      </x:c>
      <x:c r="E14" s="42" t="n">
        <x:v>80</x:v>
      </x:c>
      <x:c r="F14" s="42" t="str">
        <x:v>D1 &lt; O</x:v>
      </x:c>
      <x:c r="G14" s="42" t="str">
        <x:v>A1,D1</x:v>
      </x:c>
      <x:c r="H14" s="48" t="str">
        <x:v>Vùng canh mua.</x:v>
      </x:c>
    </x:row>
    <x:row r="15" ht="34" customHeight="1">
      <x:c r="A15" s="47" t="str">
        <x:v>Tuần</x:v>
      </x:c>
      <x:c r="B15" s="42" t="n">
        <x:v>6</x:v>
      </x:c>
      <x:c r="C15" s="42" t="str">
        <x:v>WeeklyClose &gt; A1</x:v>
      </x:c>
      <x:c r="D15" s="42" t="str">
        <x:v>A2_FULL_UPTREND</x:v>
      </x:c>
      <x:c r="E15" s="42" t="n">
        <x:v>100</x:v>
      </x:c>
      <x:c r="F15" s="42" t="str">
        <x:v>Close &lt; D1</x:v>
      </x:c>
      <x:c r="G15" s="42" t="str">
        <x:v>A2</x:v>
      </x:c>
      <x:c r="H15" s="48" t="str">
        <x:v>Full uptrend.</x:v>
      </x:c>
    </x:row>
    <x:row r="16" ht="34" customHeight="1">
      <x:c r="A16" s="47" t="str">
        <x:v>Tuần</x:v>
      </x:c>
      <x:c r="B16" s="42" t="n">
        <x:v>7</x:v>
      </x:c>
      <x:c r="C16" s="42" t="str">
        <x:v>Sau 100, D2 &gt; A1</x:v>
      </x:c>
      <x:c r="D16" s="42" t="str">
        <x:v>D2_ABOVE_A1</x:v>
      </x:c>
      <x:c r="E16" s="42" t="n">
        <x:v>100</x:v>
      </x:c>
      <x:c r="F16" s="42" t="str">
        <x:v>Close &lt; D1</x:v>
      </x:c>
      <x:c r="G16" s="42" t="str">
        <x:v>D2</x:v>
      </x:c>
      <x:c r="H16" s="48" t="str">
        <x:v>Giữ 100.</x:v>
      </x:c>
    </x:row>
    <x:row r="17" ht="34" customHeight="1">
      <x:c r="A17" s="47" t="str">
        <x:v>Tuần</x:v>
      </x:c>
      <x:c r="B17" s="42" t="n">
        <x:v>8</x:v>
      </x:c>
      <x:c r="C17" s="42" t="str">
        <x:v>D1 &lt; D2 &lt; A1</x:v>
      </x:c>
      <x:c r="D17" s="42" t="str">
        <x:v>D2_BETWEEN</x:v>
      </x:c>
      <x:c r="E17" s="42" t="n">
        <x:v>80</x:v>
      </x:c>
      <x:c r="F17" s="42" t="str">
        <x:v>Close &lt; D1</x:v>
      </x:c>
      <x:c r="G17" s="42" t="str">
        <x:v>D2</x:v>
      </x:c>
      <x:c r="H17" s="48" t="str">
        <x:v>Bỏ TC5 20 điểm.</x:v>
      </x:c>
    </x:row>
    <x:row r="18" ht="34" customHeight="1">
      <x:c r="A18" s="49" t="str">
        <x:v>Tổng hợp</x:v>
      </x:c>
      <x:c r="B18" s="50" t="n">
        <x:v>1</x:v>
      </x:c>
      <x:c r="C18" s="50" t="str">
        <x:v>Có DailyTrendScore và WeeklyTrendScore</x:v>
      </x:c>
      <x:c r="D18" s="50" t="str">
        <x:v>TREND_SCORE</x:v>
      </x:c>
      <x:c r="E18" s="50" t="str">
        <x:v>0–100</x:v>
      </x:c>
      <x:c r="F18" s="50" t="str">
        <x:v>—</x:v>
      </x:c>
      <x:c r="G18" s="50" t="str">
        <x:v>DailyTrendScore,WeeklyTrendScore</x:v>
      </x:c>
      <x:c r="H18" s="51" t="str">
        <x:v>TrendScore = 60%*Ngày + 40%*Tuần.</x:v>
      </x:c>
    </x:row>
    <x:row r="19" ht="34" customHeight="1"/>
    <x:row r="20" ht="34" customHeight="1"/>
    <x:row r="21" ht="34" customHeight="1">
      <x:c r="A21" s="62" t="str">
        <x:v>PSEUDOCODE NGẮN — TREND TUẦN</x:v>
      </x:c>
      <x:c r="B21" s="62"/>
      <x:c r="C21" s="62"/>
      <x:c r="D21" s="62"/>
      <x:c r="E21" s="62"/>
      <x:c r="F21" s="62"/>
      <x:c r="G21" s="62"/>
      <x:c r="H21" s="62"/>
    </x:row>
    <x:row r="22" ht="34" customHeight="1">
      <x:c r="A22" s="95" t="str">
        <x:v>IF WeeklyClose &lt; DailyMA200: score_week = 0; STOP</x:v>
      </x:c>
      <x:c r="B22" s="96"/>
      <x:c r="C22" s="96"/>
      <x:c r="D22" s="96"/>
      <x:c r="E22" s="96"/>
      <x:c r="F22" s="96"/>
      <x:c r="G22" s="96"/>
      <x:c r="H22" s="97"/>
    </x:row>
    <x:row r="23" ht="34" customHeight="1">
      <x:c r="A23" s="95" t="str">
        <x:v>IF NOT (O exists AND K exists): score_week = 0; STOP</x:v>
      </x:c>
      <x:c r="B23" s="96"/>
      <x:c r="C23" s="96"/>
      <x:c r="D23" s="96"/>
      <x:c r="E23" s="96"/>
      <x:c r="F23" s="96"/>
      <x:c r="G23" s="96"/>
      <x:c r="H23" s="97"/>
    </x:row>
    <x:row r="24" ht="34" customHeight="1">
      <x:c r="A24" s="95" t="str">
        <x:v>score_base = (15 IF Dist52W &gt;= -25% ELSE 0) + 15</x:v>
      </x:c>
      <x:c r="B24" s="96"/>
      <x:c r="C24" s="96"/>
      <x:c r="D24" s="96"/>
      <x:c r="E24" s="96"/>
      <x:c r="F24" s="96"/>
      <x:c r="G24" s="96"/>
      <x:c r="H24" s="97"/>
    </x:row>
    <x:row r="25" ht="34" customHeight="1">
      <x:c r="A25" s="95" t="str">
        <x:v>IF structure not above O: score_week = score_base</x:v>
      </x:c>
      <x:c r="B25" s="96"/>
      <x:c r="C25" s="96"/>
      <x:c r="D25" s="96"/>
      <x:c r="E25" s="96"/>
      <x:c r="F25" s="96"/>
      <x:c r="G25" s="96"/>
      <x:c r="H25" s="97"/>
    </x:row>
    <x:row r="26" ht="34" customHeight="1">
      <x:c r="A26" s="95" t="str">
        <x:v>IF A confirmed AND Close &gt;= O: score_week = score_base + 40</x:v>
      </x:c>
      <x:c r="B26" s="96"/>
      <x:c r="C26" s="96"/>
      <x:c r="D26" s="96"/>
      <x:c r="E26" s="96"/>
      <x:c r="F26" s="96"/>
      <x:c r="G26" s="96"/>
      <x:c r="H26" s="97"/>
    </x:row>
    <x:row r="27" ht="34" customHeight="1">
      <x:c r="A27" s="95" t="str">
        <x:v>IF valid D1 (O &lt; D1 &lt; A1): score_week = score_base + 40 + 10</x:v>
      </x:c>
      <x:c r="B27" s="96"/>
      <x:c r="C27" s="96"/>
      <x:c r="D27" s="96"/>
      <x:c r="E27" s="96"/>
      <x:c r="F27" s="96"/>
      <x:c r="G27" s="96"/>
      <x:c r="H27" s="97"/>
    </x:row>
    <x:row r="28" ht="34" customHeight="1">
      <x:c r="A28" s="95" t="str">
        <x:v>IF A2 confirmed (Close &gt; A1): score_week = 100</x:v>
      </x:c>
      <x:c r="B28" s="96"/>
      <x:c r="C28" s="96"/>
      <x:c r="D28" s="96"/>
      <x:c r="E28" s="96"/>
      <x:c r="F28" s="96"/>
      <x:c r="G28" s="96"/>
      <x:c r="H28" s="97"/>
    </x:row>
    <x:row r="29" ht="34" customHeight="1">
      <x:c r="A29" s="95" t="str">
        <x:v>IF full_uptrend AND D2 &gt; A1: score_week = 100</x:v>
      </x:c>
      <x:c r="B29" s="96"/>
      <x:c r="C29" s="96"/>
      <x:c r="D29" s="96"/>
      <x:c r="E29" s="96"/>
      <x:c r="F29" s="96"/>
      <x:c r="G29" s="96"/>
      <x:c r="H29" s="97"/>
    </x:row>
    <x:row r="30" ht="34" customHeight="1">
      <x:c r="A30" s="95" t="str">
        <x:v>IF full_uptrend AND D1 &lt; D2 &lt; A1: score_week = score_base + 40 + 10</x:v>
      </x:c>
      <x:c r="B30" s="96"/>
      <x:c r="C30" s="96"/>
      <x:c r="D30" s="96"/>
      <x:c r="E30" s="96"/>
      <x:c r="F30" s="96"/>
      <x:c r="G30" s="96"/>
      <x:c r="H30" s="97"/>
    </x:row>
    <x:row r="31" ht="34" customHeight="1">
      <x:c r="A31" s="95" t="str">
        <x:v>IF Close &lt; D1 OR (after A, Close &lt; O): score_week = score_base</x:v>
      </x:c>
      <x:c r="B31" s="96"/>
      <x:c r="C31" s="96"/>
      <x:c r="D31" s="96"/>
      <x:c r="E31" s="96"/>
      <x:c r="F31" s="96"/>
      <x:c r="G31" s="96"/>
      <x:c r="H31" s="97"/>
    </x:row>
    <x:row r="32" ht="34" customHeight="1"/>
    <x:row r="33" ht="34" customHeight="1">
      <x:c r="A33" s="62" t="str">
        <x:v>PSEUDOCODE NGẮN — TREND NGÀY</x:v>
      </x:c>
      <x:c r="B33" s="62"/>
      <x:c r="C33" s="62"/>
      <x:c r="D33" s="62"/>
      <x:c r="E33" s="62"/>
      <x:c r="F33" s="62"/>
      <x:c r="G33" s="62"/>
      <x:c r="H33" s="62"/>
    </x:row>
    <x:row r="34" ht="34" customHeight="1">
      <x:c r="A34" s="95" t="str">
        <x:v>IF NOT (O exists AND K exists): score_day = 0; STOP</x:v>
      </x:c>
      <x:c r="B34" s="96"/>
      <x:c r="C34" s="96"/>
      <x:c r="D34" s="96"/>
      <x:c r="E34" s="96"/>
      <x:c r="F34" s="96"/>
      <x:c r="G34" s="96"/>
      <x:c r="H34" s="97"/>
    </x:row>
    <x:row r="35" ht="34" customHeight="1">
      <x:c r="A35" s="95" t="str">
        <x:v>base_day = (15 IF Dist52W &gt;= -25% ELSE 0) + (15 IF Close &gt; DailyMA200 ELSE 0)</x:v>
      </x:c>
      <x:c r="B35" s="96"/>
      <x:c r="C35" s="96"/>
      <x:c r="D35" s="96"/>
      <x:c r="E35" s="96"/>
      <x:c r="F35" s="96"/>
      <x:c r="G35" s="96"/>
      <x:c r="H35" s="97"/>
    </x:row>
    <x:row r="36" ht="34" customHeight="1">
      <x:c r="A36" s="95" t="str">
        <x:v>Theo rule đặc biệt đã nêu: khi đã có O–K, trường hợp chỉ còn một điều kiện nền đạt có thể = 15</x:v>
      </x:c>
      <x:c r="B36" s="96"/>
      <x:c r="C36" s="96"/>
      <x:c r="D36" s="96"/>
      <x:c r="E36" s="96"/>
      <x:c r="F36" s="96"/>
      <x:c r="G36" s="96"/>
      <x:c r="H36" s="97"/>
    </x:row>
    <x:row r="37" ht="34" customHeight="1">
      <x:c r="A37" s="95" t="str">
        <x:v>IF A confirmed (Close &gt; O) AND TC1 AND TC2: score_day = 60</x:v>
      </x:c>
      <x:c r="B37" s="96"/>
      <x:c r="C37" s="96"/>
      <x:c r="D37" s="96"/>
      <x:c r="E37" s="96"/>
      <x:c r="F37" s="96"/>
      <x:c r="G37" s="96"/>
      <x:c r="H37" s="97"/>
    </x:row>
    <x:row r="38" ht="34" customHeight="1">
      <x:c r="A38" s="95" t="str">
        <x:v>IF valid D1 (K &lt; D1 &lt; A): score_day = 60</x:v>
      </x:c>
      <x:c r="B38" s="96"/>
      <x:c r="C38" s="96"/>
      <x:c r="D38" s="96"/>
      <x:c r="E38" s="96"/>
      <x:c r="F38" s="96"/>
      <x:c r="G38" s="96"/>
      <x:c r="H38" s="97"/>
    </x:row>
    <x:row r="39" ht="34" customHeight="1">
      <x:c r="A39" s="95" t="str">
        <x:v>IF A1 confirmed (Close &gt; A): score_day = 100</x:v>
      </x:c>
      <x:c r="B39" s="96"/>
      <x:c r="C39" s="96"/>
      <x:c r="D39" s="96"/>
      <x:c r="E39" s="96"/>
      <x:c r="F39" s="96"/>
      <x:c r="G39" s="96"/>
      <x:c r="H39" s="97"/>
    </x:row>
    <x:row r="40" ht="34" customHeight="1">
      <x:c r="A40" s="95" t="str">
        <x:v>IF A1 already confirmed AND Close &gt; D1: score_day = 100</x:v>
      </x:c>
      <x:c r="B40" s="96"/>
      <x:c r="C40" s="96"/>
      <x:c r="D40" s="96"/>
      <x:c r="E40" s="96"/>
      <x:c r="F40" s="96"/>
      <x:c r="G40" s="96"/>
      <x:c r="H40" s="97"/>
    </x:row>
    <x:row r="41" ht="34" customHeight="1">
      <x:c r="A41" s="95" t="str">
        <x:v>IF Close &lt; D1 after A1: reset structure; tìm lại O–K–A...</x:v>
      </x:c>
      <x:c r="B41" s="96"/>
      <x:c r="C41" s="96"/>
      <x:c r="D41" s="96"/>
      <x:c r="E41" s="96"/>
      <x:c r="F41" s="96"/>
      <x:c r="G41" s="96"/>
      <x:c r="H41" s="97"/>
    </x:row>
    <x:row r="42" ht="34" customHeight="1"/>
    <x:row r="43" ht="24" customHeight="1">
      <x:c r="A43" s="130" t="str">
        <x:v>BỔ SUNG 01 — PSEUDOCODE RESET O/K KHI SIDEWAY QUANH MA200</x:v>
      </x:c>
      <x:c r="B43" s="130"/>
      <x:c r="C43" s="130"/>
      <x:c r="D43" s="130"/>
      <x:c r="E43" s="130"/>
      <x:c r="F43" s="130"/>
      <x:c r="G43" s="130"/>
      <x:c r="H43" s="130"/>
    </x:row>
    <x:row r="44" ht="24" customHeight="1">
      <x:c r="A44" s="148" t="str">
        <x:v>/* Chỉ áp dụng cho Trend ngày; không thay đổi logic/chấm điểm cũ */</x:v>
      </x:c>
      <x:c r="B44" s="149"/>
      <x:c r="C44" s="149"/>
      <x:c r="D44" s="149"/>
      <x:c r="E44" s="149"/>
      <x:c r="F44" s="149"/>
      <x:c r="G44" s="149"/>
      <x:c r="H44" s="150"/>
    </x:row>
    <x:row r="45" ht="24" customHeight="1">
      <x:c r="A45" s="148" t="str">
        <x:v>IF CurrentClose &gt; DailyMA200:</x:v>
      </x:c>
      <x:c r="B45" s="149"/>
      <x:c r="C45" s="149"/>
      <x:c r="D45" s="149"/>
      <x:c r="E45" s="149"/>
      <x:c r="F45" s="149"/>
      <x:c r="G45" s="149"/>
      <x:c r="H45" s="150"/>
    </x:row>
    <x:row r="46" ht="24" customHeight="1">
      <x:c r="A46" s="148" t="str">
        <x:v>    lows52 = ZigZag Swing Lows trong 52 tuần gần nhất thỏa Low_i &lt; DailyMA200_i</x:v>
      </x:c>
      <x:c r="B46" s="149"/>
      <x:c r="C46" s="149"/>
      <x:c r="D46" s="149"/>
      <x:c r="E46" s="149"/>
      <x:c r="F46" s="149"/>
      <x:c r="G46" s="149"/>
      <x:c r="H46" s="150"/>
    </x:row>
    <x:row r="47" ht="24" customHeight="1">
      <x:c r="A47" s="148" t="str">
        <x:v>    IF COUNT(lows52) &gt;= 3:</x:v>
      </x:c>
      <x:c r="B47" s="149"/>
      <x:c r="C47" s="149"/>
      <x:c r="D47" s="149"/>
      <x:c r="E47" s="149"/>
      <x:c r="F47" s="149"/>
      <x:c r="G47" s="149"/>
      <x:c r="H47" s="150"/>
    </x:row>
    <x:row r="48" ht="24" customHeight="1">
      <x:c r="A48" s="148" t="str">
        <x:v>        RESET cấu trúc O/K hiện hành</x:v>
      </x:c>
      <x:c r="B48" s="149"/>
      <x:c r="C48" s="149"/>
      <x:c r="D48" s="149"/>
      <x:c r="E48" s="149"/>
      <x:c r="F48" s="149"/>
      <x:c r="G48" s="149"/>
      <x:c r="H48" s="150"/>
    </x:row>
    <x:row r="49" ht="24" customHeight="1">
      <x:c r="A49" s="148" t="str">
        <x:v>        K = Swing Low trong lows52 có Date lớn nhất  // đáy dưới MA200 cuối cùng theo thời gian</x:v>
      </x:c>
      <x:c r="B49" s="149"/>
      <x:c r="C49" s="149"/>
      <x:c r="D49" s="149"/>
      <x:c r="E49" s="149"/>
      <x:c r="F49" s="149"/>
      <x:c r="G49" s="149"/>
      <x:c r="H49" s="150"/>
    </x:row>
    <x:row r="50" ht="24" customHeight="1">
      <x:c r="A50" s="148" t="str">
        <x:v>        O = ZigZag Swing High hợp lệ gần nhất ngay trước K, thuộc cùng nhịp giảm dẫn tới K</x:v>
      </x:c>
      <x:c r="B50" s="149"/>
      <x:c r="C50" s="149"/>
      <x:c r="D50" s="149"/>
      <x:c r="E50" s="149"/>
      <x:c r="F50" s="149"/>
      <x:c r="G50" s="149"/>
      <x:c r="H50" s="150"/>
    </x:row>
    <x:row r="51" ht="24" customHeight="1">
      <x:c r="A51" s="148" t="str">
        <x:v>        LOCK(O, K)</x:v>
      </x:c>
      <x:c r="B51" s="149"/>
      <x:c r="C51" s="149"/>
      <x:c r="D51" s="149"/>
      <x:c r="E51" s="149"/>
      <x:c r="F51" s="149"/>
      <x:c r="G51" s="149"/>
      <x:c r="H51" s="150"/>
    </x:row>
    <x:row r="52" ht="24" customHeight="1">
      <x:c r="A52" s="148" t="str">
        <x:v>        IGNORE các Swing Low dưới MA200 cũ hơn K trong chu kỳ hiện tại</x:v>
      </x:c>
      <x:c r="B52" s="149"/>
      <x:c r="C52" s="149"/>
      <x:c r="D52" s="149"/>
      <x:c r="E52" s="149"/>
      <x:c r="F52" s="149"/>
      <x:c r="G52" s="149"/>
      <x:c r="H52" s="150"/>
    </x:row>
    <x:row r="53" ht="24" customHeight="1">
      <x:c r="A53" s="148" t="str">
        <x:v>        CONTINUE logic cũ: tìm A → D1 → A1 → D2/A2 và chấm điểm theo file hiện hữu</x:v>
      </x:c>
      <x:c r="B53" s="149"/>
      <x:c r="C53" s="149"/>
      <x:c r="D53" s="149"/>
      <x:c r="E53" s="149"/>
      <x:c r="F53" s="149"/>
      <x:c r="G53" s="149"/>
      <x:c r="H53" s="150"/>
    </x:row>
    <x:row r="54" ht="24" customHeight="1">
      <x:c r="A54" s="148" t="str">
        <x:v>    ELSE:</x:v>
      </x:c>
      <x:c r="B54" s="149"/>
      <x:c r="C54" s="149"/>
      <x:c r="D54" s="149"/>
      <x:c r="E54" s="149"/>
      <x:c r="F54" s="149"/>
      <x:c r="G54" s="149"/>
      <x:c r="H54" s="150"/>
    </x:row>
    <x:row r="55" ht="24" customHeight="1">
      <x:c r="A55" s="148" t="str">
        <x:v>        GIỮ NGUYÊN logic O/K hiện có</x:v>
      </x:c>
      <x:c r="B55" s="149"/>
      <x:c r="C55" s="149"/>
      <x:c r="D55" s="149"/>
      <x:c r="E55" s="149"/>
      <x:c r="F55" s="149"/>
      <x:c r="G55" s="149"/>
      <x:c r="H55" s="150"/>
    </x:row>
    <x:row r="56" ht="24" customHeight="1">
      <x:c r="A56" s="148" t="str">
        <x:v>ELSE:</x:v>
      </x:c>
      <x:c r="B56" s="149"/>
      <x:c r="C56" s="149"/>
      <x:c r="D56" s="149"/>
      <x:c r="E56" s="149"/>
      <x:c r="F56" s="149"/>
      <x:c r="G56" s="149"/>
      <x:c r="H56" s="150"/>
    </x:row>
    <x:row r="57" ht="24" customHeight="1">
      <x:c r="A57" s="148" t="str">
        <x:v>    KHÔNG kích hoạt rule bổ sung này; GIỮ NGUYÊN logic O/K hiện có</x:v>
      </x:c>
      <x:c r="B57" s="149"/>
      <x:c r="C57" s="149"/>
      <x:c r="D57" s="149"/>
      <x:c r="E57" s="149"/>
      <x:c r="F57" s="149"/>
      <x:c r="G57" s="149"/>
      <x:c r="H57" s="150"/>
    </x:row>
    <x:row r="58" ht="34" customHeight="1"/>
    <x:row r="59" ht="34" customHeight="1"/>
    <x:row r="60" ht="34" customHeight="1"/>
  </x:sheetData>
  <x:mergeCells>
    <x:mergeCell ref="A1:H1"/>
    <x:mergeCell ref="A21:H21"/>
    <x:mergeCell ref="A22:H31"/>
    <x:mergeCell ref="A22:H22"/>
    <x:mergeCell ref="A23:H23"/>
    <x:mergeCell ref="A24:H24"/>
    <x:mergeCell ref="A25:H25"/>
    <x:mergeCell ref="A26:H26"/>
    <x:mergeCell ref="A27:H27"/>
    <x:mergeCell ref="A28:H28"/>
    <x:mergeCell ref="A29:H29"/>
    <x:mergeCell ref="A30:H30"/>
    <x:mergeCell ref="A31:H31"/>
    <x:mergeCell ref="A33:H33"/>
    <x:mergeCell ref="A34:H34"/>
    <x:mergeCell ref="A35:H35"/>
    <x:mergeCell ref="A36:H36"/>
    <x:mergeCell ref="A37:H37"/>
    <x:mergeCell ref="A38:H38"/>
    <x:mergeCell ref="A39:H39"/>
    <x:mergeCell ref="A40:H40"/>
    <x:mergeCell ref="A41:H41"/>
    <x:mergeCell ref="A43:H43"/>
    <x:mergeCell ref="A44:H44"/>
    <x:mergeCell ref="A45:H45"/>
    <x:mergeCell ref="A46:H46"/>
    <x:mergeCell ref="A47:H47"/>
    <x:mergeCell ref="A48:H48"/>
    <x:mergeCell ref="A49:H49"/>
    <x:mergeCell ref="A50:H50"/>
    <x:mergeCell ref="A51:H51"/>
    <x:mergeCell ref="A52:H52"/>
    <x:mergeCell ref="A53:H53"/>
    <x:mergeCell ref="A54:H54"/>
    <x:mergeCell ref="A55:H55"/>
    <x:mergeCell ref="A56:H56"/>
    <x:mergeCell ref="A57:H57"/>
  </x:mergeCells>
  <x:pageMargins left="0.7" right="0.7" top="0.75" bottom="0.75" header="0.3" footer="0.3"/>
</x:worksheet>
</file>